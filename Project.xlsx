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Excel\"/>
    </mc:Choice>
  </mc:AlternateContent>
  <xr:revisionPtr revIDLastSave="0" documentId="13_ncr:1_{1F154682-428E-493F-A26B-846D1DF7399D}" xr6:coauthVersionLast="47" xr6:coauthVersionMax="47" xr10:uidLastSave="{00000000-0000-0000-0000-000000000000}"/>
  <bookViews>
    <workbookView xWindow="-110" yWindow="-110" windowWidth="19420" windowHeight="10300" xr2:uid="{C5113CA6-9CD6-4615-91B2-BC3A53E96B34}"/>
  </bookViews>
  <sheets>
    <sheet name="Dashbord" sheetId="2" r:id="rId1"/>
    <sheet name="Analytics Engine" sheetId="1" r:id="rId2"/>
  </sheets>
  <definedNames>
    <definedName name="Slicer_Date_Hierarchy">#N/A</definedName>
    <definedName name="Slicer_Product_Name">#N/A</definedName>
  </definedNames>
  <calcPr calcId="191029"/>
  <pivotCaches>
    <pivotCache cacheId="2889" r:id="rId3"/>
    <pivotCache cacheId="3069" r:id="rId4"/>
    <pivotCache cacheId="3072" r:id="rId5"/>
    <pivotCache cacheId="3075" r:id="rId6"/>
    <pivotCache cacheId="3078" r:id="rId7"/>
    <pivotCache cacheId="3081" r:id="rId8"/>
    <pivotCache cacheId="3084" r:id="rId9"/>
    <pivotCache cacheId="3087" r:id="rId10"/>
  </pivotCaches>
  <extLst>
    <ext xmlns:x14="http://schemas.microsoft.com/office/spreadsheetml/2009/9/main" uri="{876F7934-8845-4945-9796-88D515C7AA90}">
      <x14:pivotCaches>
        <pivotCache cacheId="1391" r:id="rId11"/>
        <pivotCache cacheId="2112"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ranch_404cbe3a-9c95-44c1-8ccf-2ee0701b5b0e" name="Branch" connection="Query - Branch"/>
          <x15:modelTable id="LoanDetails_49a66676-8b11-4efe-b421-85e35aa91c98" name="LoanDetails" connection="Query - LoanDetails"/>
          <x15:modelTable id="Products_bd7d402e-8a7c-4f45-8d3c-9166c54e29a3" name="Products" connection="Query - Products"/>
          <x15:modelTable id="Calendar" name="Calendar" connection="Connection"/>
        </x15:modelTables>
        <x15:modelRelationships>
          <x15:modelRelationship fromTable="LoanDetails" fromColumn="Product ID" toTable="Products" toColumn="Product ID"/>
          <x15:modelRelationship fromTable="LoanDetails" fromColumn="Branch ID" toTable="Branch" toColumn="Branch ID"/>
          <x15:modelRelationship fromTable="LoanDetails" fromColumn="Application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9BFAAD-E372-4C8D-BB9B-0B49D89F5BF5}" name="Connection" type="104" refreshedVersion="0" background="1">
    <extLst>
      <ext xmlns:x15="http://schemas.microsoft.com/office/spreadsheetml/2010/11/main" uri="{DE250136-89BD-433C-8126-D09CA5730AF9}">
        <x15:connection id="Calendar"/>
      </ext>
    </extLst>
  </connection>
  <connection id="2" xr16:uid="{1EAC8D3B-054D-4C93-A5A4-2E7BB2933C6F}" name="Query - Branch" description="Connection to the 'Branch' query in the workbook." type="100" refreshedVersion="8" minRefreshableVersion="5">
    <extLst>
      <ext xmlns:x15="http://schemas.microsoft.com/office/spreadsheetml/2010/11/main" uri="{DE250136-89BD-433C-8126-D09CA5730AF9}">
        <x15:connection id="bb7c3d67-73b9-4869-af21-9dd7ea7d5b13"/>
      </ext>
    </extLst>
  </connection>
  <connection id="3" xr16:uid="{C5957856-4201-4A75-898D-4A09B4DDEDCB}" name="Query - LoanDetails" description="Connection to the 'LoanDetails' query in the workbook." type="100" refreshedVersion="8" minRefreshableVersion="5">
    <extLst>
      <ext xmlns:x15="http://schemas.microsoft.com/office/spreadsheetml/2010/11/main" uri="{DE250136-89BD-433C-8126-D09CA5730AF9}">
        <x15:connection id="dc989739-0276-45a4-a4c1-9c61349513c9"/>
      </ext>
    </extLst>
  </connection>
  <connection id="4" xr16:uid="{CB06EC77-0500-417D-8C92-DB77E01B85D5}" name="Query - Products" description="Connection to the 'Products' query in the workbook." type="100" refreshedVersion="8" minRefreshableVersion="5">
    <extLst>
      <ext xmlns:x15="http://schemas.microsoft.com/office/spreadsheetml/2010/11/main" uri="{DE250136-89BD-433C-8126-D09CA5730AF9}">
        <x15:connection id="41903195-02be-4124-961f-dd56288f7a3c"/>
      </ext>
    </extLst>
  </connection>
  <connection id="5" xr16:uid="{79CF1C86-9768-47C8-AE6D-EEB6BC5955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Year].[All]}"/>
  </metadataStrings>
  <mdxMetadata count="1">
    <mdx n="0" f="s">
      <ms ns="1" c="0"/>
    </mdx>
  </mdxMetadata>
  <valueMetadata count="1">
    <bk>
      <rc t="1" v="0"/>
    </bk>
  </valueMetadata>
</metadata>
</file>

<file path=xl/sharedStrings.xml><?xml version="1.0" encoding="utf-8"?>
<sst xmlns="http://schemas.openxmlformats.org/spreadsheetml/2006/main" count="58" uniqueCount="47">
  <si>
    <t>Row Labels</t>
  </si>
  <si>
    <t>Grand Total</t>
  </si>
  <si>
    <t>Total Sales</t>
  </si>
  <si>
    <t>Count of Cases</t>
  </si>
  <si>
    <t>Total Requsted Amount</t>
  </si>
  <si>
    <t>Charts</t>
  </si>
  <si>
    <t>Cards</t>
  </si>
  <si>
    <t>Angelastad</t>
  </si>
  <si>
    <t>East Carrie</t>
  </si>
  <si>
    <t>East Jenniferfort</t>
  </si>
  <si>
    <t>Franciscoport</t>
  </si>
  <si>
    <t>Hernandezhaven</t>
  </si>
  <si>
    <t>Marciaville</t>
  </si>
  <si>
    <t>North Phillip</t>
  </si>
  <si>
    <t>Porterton</t>
  </si>
  <si>
    <t>West Sarah</t>
  </si>
  <si>
    <t>Williamhaven</t>
  </si>
  <si>
    <t>Branch By Sales</t>
  </si>
  <si>
    <t>Product By Sales</t>
  </si>
  <si>
    <t>Auto Loan</t>
  </si>
  <si>
    <t>Business Loan</t>
  </si>
  <si>
    <t>Education Loan</t>
  </si>
  <si>
    <t>Home Loan</t>
  </si>
  <si>
    <t>Personal Loan</t>
  </si>
  <si>
    <t>Top 5 Officers</t>
  </si>
  <si>
    <t>EMP11</t>
  </si>
  <si>
    <t>EMP13</t>
  </si>
  <si>
    <t>EMP15</t>
  </si>
  <si>
    <t>EMP17</t>
  </si>
  <si>
    <t>EMP19</t>
  </si>
  <si>
    <t>Months Per Cases 2024</t>
  </si>
  <si>
    <t>يناير</t>
  </si>
  <si>
    <t>فبراير</t>
  </si>
  <si>
    <t>مارس</t>
  </si>
  <si>
    <t>أبريل</t>
  </si>
  <si>
    <t>مايو</t>
  </si>
  <si>
    <t>يونيو</t>
  </si>
  <si>
    <t>يوليو</t>
  </si>
  <si>
    <t>أغسطس</t>
  </si>
  <si>
    <t>سبتمبر</t>
  </si>
  <si>
    <t>أكتوبر</t>
  </si>
  <si>
    <t>نوفمبر</t>
  </si>
  <si>
    <t>ديسمبر</t>
  </si>
  <si>
    <t>Year</t>
  </si>
  <si>
    <t>Count of Transaction ID</t>
  </si>
  <si>
    <t>Total Amount Not Approved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</si>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</sst>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74" formatCode="0.0,,&quot;M&quot;"/>
  </numFmts>
  <fonts count="5" x14ac:knownFonts="1">
    <font>
      <sz val="11"/>
      <color theme="1"/>
      <name val="Calibri"/>
      <family val="2"/>
      <charset val="178"/>
      <scheme val="minor"/>
    </font>
    <font>
      <sz val="11"/>
      <color theme="1"/>
      <name val="Calibri"/>
      <family val="2"/>
      <charset val="178"/>
      <scheme val="minor"/>
    </font>
    <font>
      <b/>
      <sz val="18"/>
      <color theme="8" tint="0.79998168889431442"/>
      <name val="Calibri"/>
      <family val="2"/>
      <scheme val="minor"/>
    </font>
    <font>
      <sz val="18"/>
      <color theme="8" tint="0.79998168889431442"/>
      <name val="Calibri"/>
      <family val="2"/>
      <scheme val="minor"/>
    </font>
    <font>
      <b/>
      <sz val="11"/>
      <color theme="8" tint="0.79998168889431442"/>
      <name val="Calibri"/>
      <family val="2"/>
      <scheme val="minor"/>
    </font>
  </fonts>
  <fills count="3">
    <fill>
      <patternFill patternType="none"/>
    </fill>
    <fill>
      <patternFill patternType="gray125"/>
    </fill>
    <fill>
      <patternFill patternType="solid">
        <fgColor theme="8" tint="-0.49998474074526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64" fontId="0" fillId="0" borderId="0" xfId="1" applyNumberFormat="1" applyFont="1"/>
    <xf numFmtId="164" fontId="0" fillId="0" borderId="0" xfId="0" applyNumberFormat="1"/>
    <xf numFmtId="164" fontId="0" fillId="0" borderId="0" xfId="0" pivotButton="1" applyNumberFormat="1"/>
    <xf numFmtId="164" fontId="0" fillId="0" borderId="0" xfId="0" applyNumberFormat="1" applyAlignment="1">
      <alignment horizontal="left"/>
    </xf>
    <xf numFmtId="0" fontId="4"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174" fontId="0" fillId="0" borderId="0" xfId="0" applyNumberFormat="1"/>
  </cellXfs>
  <cellStyles count="2">
    <cellStyle name="Comma" xfId="1" builtinId="3"/>
    <cellStyle name="Normal" xfId="0" builtinId="0"/>
  </cellStyles>
  <dxfs count="675">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74" formatCode="0.0,,&quot;M&quot;"/>
    </dxf>
    <dxf>
      <numFmt numFmtId="174" formatCode="0.0,,&quot;M&quot;"/>
    </dxf>
    <dxf>
      <numFmt numFmtId="164" formatCode="_-* #,##0_-;\-* #,##0_-;_-* &quot;-&quot;??_-;_-@_-"/>
    </dxf>
    <dxf>
      <numFmt numFmtId="164" formatCode="_-* #,##0_-;\-* #,##0_-;_-* &quot;-&quot;??_-;_-@_-"/>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74" formatCode="0.0,,&quot;M&quot;"/>
    </dxf>
    <dxf>
      <numFmt numFmtId="174" formatCode="0.0,,&quot;M&quot;"/>
    </dxf>
    <dxf>
      <numFmt numFmtId="174" formatCode="0.0,,&quot;M&quot;"/>
    </dxf>
    <dxf>
      <numFmt numFmtId="174" formatCode="0.0,,&quot;M&quot;"/>
    </dxf>
    <dxf>
      <numFmt numFmtId="174" formatCode="0.0,,&quot;M&quot;"/>
    </dxf>
    <dxf>
      <numFmt numFmtId="174" formatCode="0.0,,&quot;M&quot;"/>
    </dxf>
    <dxf>
      <numFmt numFmtId="174" formatCode="0.0,,&quot;M&quot;"/>
    </dxf>
    <dxf>
      <numFmt numFmtId="174" formatCode="0.0,,&quot;M&quot;"/>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aredStrings" Target="sharedString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connections" Target="connections.xml"/><Relationship Id="rId29"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3.xml"/><Relationship Id="rId15" Type="http://schemas.openxmlformats.org/officeDocument/2006/relationships/theme" Target="theme/them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10" Type="http://schemas.openxmlformats.org/officeDocument/2006/relationships/pivotCacheDefinition" Target="pivotCache/pivotCacheDefinition8.xml"/><Relationship Id="rId19" Type="http://schemas.openxmlformats.org/officeDocument/2006/relationships/sheetMetadata" Target="metadata.xml"/><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microsoft.com/office/2007/relationships/slicerCache" Target="slicerCaches/slicerCache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styles" Target="style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powerPivotData" Target="model/item.data"/><Relationship Id="rId41"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[Project.xlsx]Analytics Engine!BranchBySales</c:name>
    <c:fmtId val="12"/>
  </c:pivotSource>
  <c:chart>
    <c:title>
      <c:tx>
        <c:rich>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r>
              <a:rPr lang="en-US" sz="1600" b="1" baseline="0">
                <a:solidFill>
                  <a:schemeClr val="accent1">
                    <a:lumMod val="50000"/>
                  </a:schemeClr>
                </a:solidFill>
              </a:rPr>
              <a:t>Total Sales Per Branch</a:t>
            </a:r>
            <a:endParaRPr lang="en-US" sz="1600" b="1">
              <a:solidFill>
                <a:schemeClr val="accent1">
                  <a:lumMod val="50000"/>
                </a:schemeClr>
              </a:solidFill>
            </a:endParaRPr>
          </a:p>
        </c:rich>
      </c:tx>
      <c:layout>
        <c:manualLayout>
          <c:xMode val="edge"/>
          <c:yMode val="edge"/>
          <c:x val="0.17015096496050458"/>
          <c:y val="3.8356135206707796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807353831902232"/>
          <c:y val="0.21660273972602739"/>
          <c:w val="0.42728079238963906"/>
          <c:h val="0.6562834645669291"/>
        </c:manualLayout>
      </c:layout>
      <c:barChart>
        <c:barDir val="bar"/>
        <c:grouping val="clustered"/>
        <c:varyColors val="0"/>
        <c:ser>
          <c:idx val="0"/>
          <c:order val="0"/>
          <c:tx>
            <c:strRef>
              <c:f>'Analytics Engine'!$J$6</c:f>
              <c:strCache>
                <c:ptCount val="1"/>
                <c:pt idx="0">
                  <c:v>Total</c:v>
                </c:pt>
              </c:strCache>
            </c:strRef>
          </c:tx>
          <c:spPr>
            <a:solidFill>
              <a:schemeClr val="accent5"/>
            </a:solidFill>
            <a:ln>
              <a:noFill/>
            </a:ln>
            <a:effectLst/>
          </c:spPr>
          <c:invertIfNegative val="0"/>
          <c:cat>
            <c:strRef>
              <c:f>'Analytics Engine'!$I$7:$I$17</c:f>
              <c:strCache>
                <c:ptCount val="10"/>
                <c:pt idx="0">
                  <c:v>East Carrie</c:v>
                </c:pt>
                <c:pt idx="1">
                  <c:v>West Sarah</c:v>
                </c:pt>
                <c:pt idx="2">
                  <c:v>Williamhaven</c:v>
                </c:pt>
                <c:pt idx="3">
                  <c:v>Marciaville</c:v>
                </c:pt>
                <c:pt idx="4">
                  <c:v>North Phillip</c:v>
                </c:pt>
                <c:pt idx="5">
                  <c:v>Porterton</c:v>
                </c:pt>
                <c:pt idx="6">
                  <c:v>Angelastad</c:v>
                </c:pt>
                <c:pt idx="7">
                  <c:v>East Jenniferfort</c:v>
                </c:pt>
                <c:pt idx="8">
                  <c:v>Franciscoport</c:v>
                </c:pt>
                <c:pt idx="9">
                  <c:v>Hernandezhaven</c:v>
                </c:pt>
              </c:strCache>
            </c:strRef>
          </c:cat>
          <c:val>
            <c:numRef>
              <c:f>'Analytics Engine'!$J$7:$J$17</c:f>
              <c:numCache>
                <c:formatCode>0.0,,"M"</c:formatCode>
                <c:ptCount val="10"/>
                <c:pt idx="0">
                  <c:v>3380986.31</c:v>
                </c:pt>
                <c:pt idx="1">
                  <c:v>3526715.84</c:v>
                </c:pt>
                <c:pt idx="2">
                  <c:v>3558604.82</c:v>
                </c:pt>
                <c:pt idx="3">
                  <c:v>3639656.87</c:v>
                </c:pt>
                <c:pt idx="4">
                  <c:v>3788112</c:v>
                </c:pt>
                <c:pt idx="5">
                  <c:v>3946702.22</c:v>
                </c:pt>
                <c:pt idx="6">
                  <c:v>4015448.15</c:v>
                </c:pt>
                <c:pt idx="7">
                  <c:v>4060588.97</c:v>
                </c:pt>
                <c:pt idx="8">
                  <c:v>4233015.87</c:v>
                </c:pt>
                <c:pt idx="9">
                  <c:v>4356335.4000000004</c:v>
                </c:pt>
              </c:numCache>
            </c:numRef>
          </c:val>
          <c:extLst>
            <c:ext xmlns:c16="http://schemas.microsoft.com/office/drawing/2014/chart" uri="{C3380CC4-5D6E-409C-BE32-E72D297353CC}">
              <c16:uniqueId val="{00000002-140D-459F-A40E-0B0B596466E6}"/>
            </c:ext>
          </c:extLst>
        </c:ser>
        <c:dLbls>
          <c:showLegendKey val="0"/>
          <c:showVal val="0"/>
          <c:showCatName val="0"/>
          <c:showSerName val="0"/>
          <c:showPercent val="0"/>
          <c:showBubbleSize val="0"/>
        </c:dLbls>
        <c:gapWidth val="219"/>
        <c:axId val="1225141312"/>
        <c:axId val="1225139872"/>
      </c:barChart>
      <c:catAx>
        <c:axId val="12251413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225139872"/>
        <c:crosses val="autoZero"/>
        <c:auto val="1"/>
        <c:lblAlgn val="ctr"/>
        <c:lblOffset val="100"/>
        <c:noMultiLvlLbl val="0"/>
      </c:catAx>
      <c:valAx>
        <c:axId val="1225139872"/>
        <c:scaling>
          <c:orientation val="minMax"/>
        </c:scaling>
        <c:delete val="0"/>
        <c:axPos val="b"/>
        <c:majorGridlines>
          <c:spPr>
            <a:ln w="9525" cap="flat" cmpd="sng" algn="ctr">
              <a:solidFill>
                <a:schemeClr val="tx1">
                  <a:lumMod val="15000"/>
                  <a:lumOff val="85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50000"/>
                  </a:schemeClr>
                </a:solidFill>
                <a:latin typeface="+mn-lt"/>
                <a:ea typeface="+mn-ea"/>
                <a:cs typeface="+mn-cs"/>
              </a:defRPr>
            </a:pPr>
            <a:endParaRPr lang="en-US"/>
          </a:p>
        </c:txPr>
        <c:crossAx val="122514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sx="101000" sy="101000" algn="tl" rotWithShape="0">
        <a:schemeClr val="accent5">
          <a:lumMod val="75000"/>
          <a:alpha val="70000"/>
        </a:schemeClr>
      </a:outerShdw>
    </a:effectLst>
  </c:spPr>
  <c:txPr>
    <a:bodyPr/>
    <a:lstStyle/>
    <a:p>
      <a:pPr>
        <a:defRPr>
          <a:solidFill>
            <a:schemeClr val="accent1">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[Project.xlsx]Analytics Engine!MonthsPerCases</c:name>
    <c:fmtId val="9"/>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US" sz="1600" b="1" i="0">
                <a:solidFill>
                  <a:schemeClr val="accent1">
                    <a:lumMod val="50000"/>
                  </a:schemeClr>
                </a:solidFill>
              </a:rPr>
              <a:t>Total Cases Per</a:t>
            </a:r>
            <a:r>
              <a:rPr lang="en-US" sz="1600" b="1" i="0" baseline="0">
                <a:solidFill>
                  <a:schemeClr val="accent1">
                    <a:lumMod val="50000"/>
                  </a:schemeClr>
                </a:solidFill>
              </a:rPr>
              <a:t> Month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'Analytics Engine'!$J$54</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'Analytics Engine'!$I$55:$I$67</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'Analytics Engine'!$J$55:$J$67</c:f>
              <c:numCache>
                <c:formatCode>_-* #,##0_-;\-* #,##0_-;_-* "-"??_-;_-@_-</c:formatCode>
                <c:ptCount val="12"/>
                <c:pt idx="0">
                  <c:v>78</c:v>
                </c:pt>
                <c:pt idx="1">
                  <c:v>78</c:v>
                </c:pt>
                <c:pt idx="2">
                  <c:v>94</c:v>
                </c:pt>
                <c:pt idx="3">
                  <c:v>70</c:v>
                </c:pt>
                <c:pt idx="4">
                  <c:v>76</c:v>
                </c:pt>
                <c:pt idx="5">
                  <c:v>88</c:v>
                </c:pt>
                <c:pt idx="6">
                  <c:v>92</c:v>
                </c:pt>
                <c:pt idx="7">
                  <c:v>90</c:v>
                </c:pt>
                <c:pt idx="8">
                  <c:v>81</c:v>
                </c:pt>
                <c:pt idx="9">
                  <c:v>81</c:v>
                </c:pt>
                <c:pt idx="10">
                  <c:v>77</c:v>
                </c:pt>
                <c:pt idx="11">
                  <c:v>94</c:v>
                </c:pt>
              </c:numCache>
            </c:numRef>
          </c:val>
          <c:smooth val="0"/>
          <c:extLst>
            <c:ext xmlns:c16="http://schemas.microsoft.com/office/drawing/2014/chart" uri="{C3380CC4-5D6E-409C-BE32-E72D297353CC}">
              <c16:uniqueId val="{0000000D-2907-4FDE-B115-941FA228B768}"/>
            </c:ext>
          </c:extLst>
        </c:ser>
        <c:dLbls>
          <c:showLegendKey val="0"/>
          <c:showVal val="0"/>
          <c:showCatName val="0"/>
          <c:showSerName val="0"/>
          <c:showPercent val="0"/>
          <c:showBubbleSize val="0"/>
        </c:dLbls>
        <c:marker val="1"/>
        <c:smooth val="0"/>
        <c:axId val="621581744"/>
        <c:axId val="621583664"/>
      </c:lineChart>
      <c:catAx>
        <c:axId val="62158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83664"/>
        <c:crosses val="autoZero"/>
        <c:auto val="1"/>
        <c:lblAlgn val="ctr"/>
        <c:lblOffset val="100"/>
        <c:noMultiLvlLbl val="0"/>
      </c:catAx>
      <c:valAx>
        <c:axId val="62158366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58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tx1">
          <a:lumMod val="15000"/>
          <a:lumOff val="85000"/>
        </a:schemeClr>
      </a:solidFill>
      <a:round/>
    </a:ln>
    <a:effectLst>
      <a:outerShdw blurRad="50800" dist="38100" dir="2700000" sx="101000" sy="101000" algn="tl" rotWithShape="0">
        <a:schemeClr val="accent5">
          <a:lumMod val="75000"/>
          <a:alpha val="69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[Project.xlsx]Analytics Engine!ProductBySales</c:name>
    <c:fmtId val="19"/>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US" sz="1600" baseline="0">
                <a:solidFill>
                  <a:schemeClr val="accent1">
                    <a:lumMod val="50000"/>
                  </a:schemeClr>
                </a:solidFill>
              </a:rPr>
              <a:t>Total Sales by Product</a:t>
            </a:r>
            <a:endParaRPr lang="en-US" sz="1600">
              <a:solidFill>
                <a:schemeClr val="accent1">
                  <a:lumMod val="50000"/>
                </a:schemeClr>
              </a:solidFill>
            </a:endParaRPr>
          </a:p>
        </c:rich>
      </c:tx>
      <c:layout>
        <c:manualLayout>
          <c:xMode val="edge"/>
          <c:yMode val="edge"/>
          <c:x val="0.15750462358079831"/>
          <c:y val="2.055547112668747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spPr>
          <a:solidFill>
            <a:schemeClr val="accent5">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alpha val="85000"/>
            </a:schemeClr>
          </a:solidFill>
          <a:ln w="9525" cap="flat" cmpd="sng" algn="ctr">
            <a:solidFill>
              <a:schemeClr val="lt1">
                <a:alpha val="50000"/>
              </a:schemeClr>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32006210491294"/>
                  <c:h val="0.14350574712643679"/>
                </c:manualLayout>
              </c15:layout>
            </c:ext>
          </c:extLst>
        </c:dLbl>
      </c:pivotFmt>
      <c:pivotFmt>
        <c:idx val="4"/>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7692691582566265"/>
                  <c:h val="0.14350574712643679"/>
                </c:manualLayout>
              </c15:layout>
            </c:ext>
          </c:extLst>
        </c:dLbl>
      </c:pivotFmt>
      <c:pivotFmt>
        <c:idx val="5"/>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307456286274074"/>
                  <c:h val="0.14350574712643679"/>
                </c:manualLayout>
              </c15:layout>
            </c:ext>
          </c:extLst>
        </c:dLbl>
      </c:pivotFmt>
      <c:pivotFmt>
        <c:idx val="6"/>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052715241580712"/>
                  <c:h val="0.14350574712643679"/>
                </c:manualLayout>
              </c15:layout>
            </c:ext>
          </c:extLst>
        </c:dLbl>
      </c:pivotFmt>
      <c:pivotFmt>
        <c:idx val="7"/>
        <c:spPr>
          <a:solidFill>
            <a:schemeClr val="accent5">
              <a:alpha val="85000"/>
            </a:schemeClr>
          </a:solidFill>
          <a:ln w="9525" cap="flat" cmpd="sng" algn="ctr">
            <a:solidFill>
              <a:schemeClr val="lt1">
                <a:alpha val="50000"/>
              </a:schemeClr>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6511562370493164"/>
                  <c:h val="0.14350574712643679"/>
                </c:manualLayout>
              </c15:layout>
            </c:ext>
          </c:extLst>
        </c:dLbl>
      </c:pivotFmt>
    </c:pivotFmts>
    <c:plotArea>
      <c:layout>
        <c:manualLayout>
          <c:layoutTarget val="inner"/>
          <c:xMode val="edge"/>
          <c:yMode val="edge"/>
          <c:x val="0.37384898466639038"/>
          <c:y val="0.14353470902344104"/>
          <c:w val="0.47909125569830086"/>
          <c:h val="0.68865915467463124"/>
        </c:manualLayout>
      </c:layout>
      <c:barChart>
        <c:barDir val="bar"/>
        <c:grouping val="clustered"/>
        <c:varyColors val="0"/>
        <c:ser>
          <c:idx val="0"/>
          <c:order val="0"/>
          <c:tx>
            <c:strRef>
              <c:f>'Analytics Engine'!$J$25</c:f>
              <c:strCache>
                <c:ptCount val="1"/>
                <c:pt idx="0">
                  <c:v>Total</c:v>
                </c:pt>
              </c:strCache>
            </c:strRef>
          </c:tx>
          <c:spPr>
            <a:solidFill>
              <a:schemeClr val="accent5">
                <a:alpha val="85000"/>
              </a:schemeClr>
            </a:solidFill>
            <a:ln w="9525" cap="flat" cmpd="sng" algn="ctr">
              <a:solidFill>
                <a:schemeClr val="lt1">
                  <a:alpha val="50000"/>
                </a:schemeClr>
              </a:solidFill>
              <a:round/>
            </a:ln>
            <a:effectLst/>
          </c:spPr>
          <c:invertIfNegative val="0"/>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26511562370493164"/>
                      <c:h val="0.14350574712643679"/>
                    </c:manualLayout>
                  </c15:layout>
                </c:ext>
                <c:ext xmlns:c16="http://schemas.microsoft.com/office/drawing/2014/chart" uri="{C3380CC4-5D6E-409C-BE32-E72D297353CC}">
                  <c16:uniqueId val="{00000009-F34E-4DE0-AB6F-861D725E64B9}"/>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29052715241580712"/>
                      <c:h val="0.14350574712643679"/>
                    </c:manualLayout>
                  </c15:layout>
                </c:ext>
                <c:ext xmlns:c16="http://schemas.microsoft.com/office/drawing/2014/chart" uri="{C3380CC4-5D6E-409C-BE32-E72D297353CC}">
                  <c16:uniqueId val="{0000000A-F34E-4DE0-AB6F-861D725E64B9}"/>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8307456286274074"/>
                      <c:h val="0.14350574712643679"/>
                    </c:manualLayout>
                  </c15:layout>
                </c:ext>
                <c:ext xmlns:c16="http://schemas.microsoft.com/office/drawing/2014/chart" uri="{C3380CC4-5D6E-409C-BE32-E72D297353CC}">
                  <c16:uniqueId val="{0000000B-F34E-4DE0-AB6F-861D725E64B9}"/>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7692691582566265"/>
                      <c:h val="0.14350574712643679"/>
                    </c:manualLayout>
                  </c15:layout>
                </c:ext>
                <c:ext xmlns:c16="http://schemas.microsoft.com/office/drawing/2014/chart" uri="{C3380CC4-5D6E-409C-BE32-E72D297353CC}">
                  <c16:uniqueId val="{0000000C-F34E-4DE0-AB6F-861D725E64B9}"/>
                </c:ext>
              </c:extLst>
            </c:dLbl>
            <c:dLbl>
              <c:idx val="4"/>
              <c:dLblPos val="inEnd"/>
              <c:showLegendKey val="0"/>
              <c:showVal val="1"/>
              <c:showCatName val="0"/>
              <c:showSerName val="0"/>
              <c:showPercent val="0"/>
              <c:showBubbleSize val="0"/>
              <c:extLst>
                <c:ext xmlns:c15="http://schemas.microsoft.com/office/drawing/2012/chart" uri="{CE6537A1-D6FC-4f65-9D91-7224C49458BB}">
                  <c15:layout>
                    <c:manualLayout>
                      <c:w val="0.2732006210491294"/>
                      <c:h val="0.14350574712643679"/>
                    </c:manualLayout>
                  </c15:layout>
                </c:ext>
                <c:ext xmlns:c16="http://schemas.microsoft.com/office/drawing/2014/chart" uri="{C3380CC4-5D6E-409C-BE32-E72D297353CC}">
                  <c16:uniqueId val="{0000000D-F34E-4DE0-AB6F-861D725E64B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'Analytics Engine'!$I$26:$I$31</c:f>
              <c:strCache>
                <c:ptCount val="5"/>
                <c:pt idx="0">
                  <c:v>Auto Loan</c:v>
                </c:pt>
                <c:pt idx="1">
                  <c:v>Business Loan</c:v>
                </c:pt>
                <c:pt idx="2">
                  <c:v>Education Loan</c:v>
                </c:pt>
                <c:pt idx="3">
                  <c:v>Home Loan</c:v>
                </c:pt>
                <c:pt idx="4">
                  <c:v>Personal Loan</c:v>
                </c:pt>
              </c:strCache>
            </c:strRef>
          </c:cat>
          <c:val>
            <c:numRef>
              <c:f>'Analytics Engine'!$J$26:$J$31</c:f>
              <c:numCache>
                <c:formatCode>0.0,,"M"</c:formatCode>
                <c:ptCount val="5"/>
                <c:pt idx="0">
                  <c:v>8187100.4400000004</c:v>
                </c:pt>
                <c:pt idx="1">
                  <c:v>8133032.2300000004</c:v>
                </c:pt>
                <c:pt idx="2">
                  <c:v>7267406.7300000004</c:v>
                </c:pt>
                <c:pt idx="3">
                  <c:v>6682073.8200000003</c:v>
                </c:pt>
                <c:pt idx="4">
                  <c:v>8236553.2300000004</c:v>
                </c:pt>
              </c:numCache>
            </c:numRef>
          </c:val>
          <c:extLst>
            <c:ext xmlns:c16="http://schemas.microsoft.com/office/drawing/2014/chart" uri="{C3380CC4-5D6E-409C-BE32-E72D297353CC}">
              <c16:uniqueId val="{00000008-F34E-4DE0-AB6F-861D725E64B9}"/>
            </c:ext>
          </c:extLst>
        </c:ser>
        <c:dLbls>
          <c:dLblPos val="inEnd"/>
          <c:showLegendKey val="0"/>
          <c:showVal val="1"/>
          <c:showCatName val="0"/>
          <c:showSerName val="0"/>
          <c:showPercent val="0"/>
          <c:showBubbleSize val="0"/>
        </c:dLbls>
        <c:gapWidth val="65"/>
        <c:axId val="1268609984"/>
        <c:axId val="1268621024"/>
      </c:barChart>
      <c:catAx>
        <c:axId val="126860998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268621024"/>
        <c:crosses val="autoZero"/>
        <c:auto val="1"/>
        <c:lblAlgn val="ctr"/>
        <c:lblOffset val="100"/>
        <c:noMultiLvlLbl val="0"/>
      </c:catAx>
      <c:valAx>
        <c:axId val="12686210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268609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20000"/>
        <a:lumOff val="80000"/>
      </a:schemeClr>
    </a:solidFill>
    <a:ln w="9525" cap="flat" cmpd="sng" algn="ctr">
      <a:solidFill>
        <a:schemeClr val="dk1">
          <a:lumMod val="25000"/>
          <a:lumOff val="75000"/>
        </a:schemeClr>
      </a:solidFill>
      <a:round/>
    </a:ln>
    <a:effectLst>
      <a:outerShdw blurRad="50800" dist="38100" dir="2700000" sx="101000" sy="101000" algn="tl" rotWithShape="0">
        <a:schemeClr val="accent5">
          <a:lumMod val="75000"/>
          <a:alpha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hyperlink" Target="#'Analytics Engine'!A1"/><Relationship Id="rId7"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6414</xdr:colOff>
      <xdr:row>0</xdr:row>
      <xdr:rowOff>6349</xdr:rowOff>
    </xdr:from>
    <xdr:to>
      <xdr:col>19</xdr:col>
      <xdr:colOff>190820</xdr:colOff>
      <xdr:row>29</xdr:row>
      <xdr:rowOff>97193</xdr:rowOff>
    </xdr:to>
    <xdr:pic>
      <xdr:nvPicPr>
        <xdr:cNvPr id="7" name="Graphic 6">
          <a:extLst>
            <a:ext uri="{FF2B5EF4-FFF2-40B4-BE49-F238E27FC236}">
              <a16:creationId xmlns:a16="http://schemas.microsoft.com/office/drawing/2014/main" id="{0FE0C899-D5E6-C0CA-0D28-D37A9BF1B7F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414" y="6349"/>
          <a:ext cx="11756957" cy="5352273"/>
        </a:xfrm>
        <a:prstGeom prst="rect">
          <a:avLst/>
        </a:prstGeom>
        <a:effectLst>
          <a:outerShdw blurRad="50800" dist="38100" dir="2700000" sx="101000" sy="101000" algn="tl" rotWithShape="0">
            <a:schemeClr val="accent5">
              <a:lumMod val="75000"/>
            </a:schemeClr>
          </a:outerShdw>
        </a:effectLst>
      </xdr:spPr>
    </xdr:pic>
    <xdr:clientData/>
  </xdr:twoCellAnchor>
  <xdr:twoCellAnchor editAs="oneCell">
    <xdr:from>
      <xdr:col>0</xdr:col>
      <xdr:colOff>247843</xdr:colOff>
      <xdr:row>13</xdr:row>
      <xdr:rowOff>95827</xdr:rowOff>
    </xdr:from>
    <xdr:to>
      <xdr:col>1</xdr:col>
      <xdr:colOff>139892</xdr:colOff>
      <xdr:row>15</xdr:row>
      <xdr:rowOff>76777</xdr:rowOff>
    </xdr:to>
    <xdr:pic>
      <xdr:nvPicPr>
        <xdr:cNvPr id="9" name="Picture 8">
          <a:hlinkClick xmlns:r="http://schemas.openxmlformats.org/officeDocument/2006/relationships" r:id="rId3"/>
          <a:extLst>
            <a:ext uri="{FF2B5EF4-FFF2-40B4-BE49-F238E27FC236}">
              <a16:creationId xmlns:a16="http://schemas.microsoft.com/office/drawing/2014/main" id="{0AE6ACE7-588B-5640-EE64-EACD3616A35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7843" y="2513958"/>
          <a:ext cx="501392" cy="352971"/>
        </a:xfrm>
        <a:prstGeom prst="rect">
          <a:avLst/>
        </a:prstGeom>
      </xdr:spPr>
    </xdr:pic>
    <xdr:clientData/>
  </xdr:twoCellAnchor>
  <xdr:twoCellAnchor editAs="oneCell">
    <xdr:from>
      <xdr:col>0</xdr:col>
      <xdr:colOff>438150</xdr:colOff>
      <xdr:row>1</xdr:row>
      <xdr:rowOff>57151</xdr:rowOff>
    </xdr:from>
    <xdr:to>
      <xdr:col>1</xdr:col>
      <xdr:colOff>431800</xdr:colOff>
      <xdr:row>4</xdr:row>
      <xdr:rowOff>0</xdr:rowOff>
    </xdr:to>
    <xdr:pic>
      <xdr:nvPicPr>
        <xdr:cNvPr id="18" name="Picture 17">
          <a:hlinkClick xmlns:r="http://schemas.openxmlformats.org/officeDocument/2006/relationships" r:id="rId3"/>
          <a:extLst>
            <a:ext uri="{FF2B5EF4-FFF2-40B4-BE49-F238E27FC236}">
              <a16:creationId xmlns:a16="http://schemas.microsoft.com/office/drawing/2014/main" id="{B743091A-B8EC-F96C-CDE2-9B2E2C237D6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38150" y="241301"/>
          <a:ext cx="603250" cy="495299"/>
        </a:xfrm>
        <a:prstGeom prst="rect">
          <a:avLst/>
        </a:prstGeom>
      </xdr:spPr>
    </xdr:pic>
    <xdr:clientData/>
  </xdr:twoCellAnchor>
  <xdr:twoCellAnchor>
    <xdr:from>
      <xdr:col>2</xdr:col>
      <xdr:colOff>25528</xdr:colOff>
      <xdr:row>5</xdr:row>
      <xdr:rowOff>95185</xdr:rowOff>
    </xdr:from>
    <xdr:to>
      <xdr:col>5</xdr:col>
      <xdr:colOff>468231</xdr:colOff>
      <xdr:row>12</xdr:row>
      <xdr:rowOff>128283</xdr:rowOff>
    </xdr:to>
    <xdr:sp macro="" textlink="'Analytics Engine'!B7">
      <xdr:nvSpPr>
        <xdr:cNvPr id="19" name="Rectangle: Rounded Corners 18">
          <a:extLst>
            <a:ext uri="{FF2B5EF4-FFF2-40B4-BE49-F238E27FC236}">
              <a16:creationId xmlns:a16="http://schemas.microsoft.com/office/drawing/2014/main" id="{FB168347-88BF-3D80-680C-4151AD8B3747}"/>
            </a:ext>
          </a:extLst>
        </xdr:cNvPr>
        <xdr:cNvSpPr/>
      </xdr:nvSpPr>
      <xdr:spPr>
        <a:xfrm>
          <a:off x="1244215" y="1025236"/>
          <a:ext cx="2270733" cy="1335168"/>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66B1D441-4ACB-4560-AD99-85F712EEF42F}" type="TxLink">
            <a:rPr lang="en-US" sz="2000" b="1" i="0" u="none" strike="noStrike">
              <a:solidFill>
                <a:schemeClr val="accent1">
                  <a:lumMod val="50000"/>
                </a:schemeClr>
              </a:solidFill>
              <a:latin typeface="Calibri"/>
              <a:ea typeface="Calibri"/>
              <a:cs typeface="Calibri"/>
            </a:rPr>
            <a:pPr algn="ctr"/>
            <a:t>38.5M</a:t>
          </a:fld>
          <a:endParaRPr lang="en-US" sz="4000" b="1">
            <a:solidFill>
              <a:schemeClr val="accent1">
                <a:lumMod val="50000"/>
              </a:schemeClr>
            </a:solidFill>
          </a:endParaRPr>
        </a:p>
      </xdr:txBody>
    </xdr:sp>
    <xdr:clientData/>
  </xdr:twoCellAnchor>
  <xdr:twoCellAnchor>
    <xdr:from>
      <xdr:col>2</xdr:col>
      <xdr:colOff>463806</xdr:colOff>
      <xdr:row>4</xdr:row>
      <xdr:rowOff>94929</xdr:rowOff>
    </xdr:from>
    <xdr:to>
      <xdr:col>4</xdr:col>
      <xdr:colOff>565406</xdr:colOff>
      <xdr:row>6</xdr:row>
      <xdr:rowOff>109040</xdr:rowOff>
    </xdr:to>
    <xdr:sp macro="" textlink="'Analytics Engine'!B6">
      <xdr:nvSpPr>
        <xdr:cNvPr id="20" name="Rectangle: Rounded Corners 19">
          <a:extLst>
            <a:ext uri="{FF2B5EF4-FFF2-40B4-BE49-F238E27FC236}">
              <a16:creationId xmlns:a16="http://schemas.microsoft.com/office/drawing/2014/main" id="{39C1EE7A-BDAF-B2F3-E497-1EEA2C183709}"/>
            </a:ext>
          </a:extLst>
        </xdr:cNvPr>
        <xdr:cNvSpPr/>
      </xdr:nvSpPr>
      <xdr:spPr>
        <a:xfrm>
          <a:off x="1682493" y="838969"/>
          <a:ext cx="1320287" cy="386132"/>
        </a:xfrm>
        <a:prstGeom prst="round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AE0CB501-E061-4B43-8133-0009BBA5A09F}" type="TxLink">
            <a:rPr lang="en-US" sz="1600" b="1" i="0" u="none" strike="noStrike">
              <a:solidFill>
                <a:schemeClr val="tx1"/>
              </a:solidFill>
              <a:latin typeface="Calibri"/>
              <a:ea typeface="Calibri"/>
              <a:cs typeface="Calibri"/>
            </a:rPr>
            <a:pPr algn="ctr"/>
            <a:t>Total Sales</a:t>
          </a:fld>
          <a:endParaRPr lang="en-US" sz="2400" b="1">
            <a:solidFill>
              <a:schemeClr val="tx1"/>
            </a:solidFill>
          </a:endParaRPr>
        </a:p>
      </xdr:txBody>
    </xdr:sp>
    <xdr:clientData/>
  </xdr:twoCellAnchor>
  <xdr:twoCellAnchor>
    <xdr:from>
      <xdr:col>6</xdr:col>
      <xdr:colOff>158749</xdr:colOff>
      <xdr:row>5</xdr:row>
      <xdr:rowOff>100958</xdr:rowOff>
    </xdr:from>
    <xdr:to>
      <xdr:col>9</xdr:col>
      <xdr:colOff>602929</xdr:colOff>
      <xdr:row>12</xdr:row>
      <xdr:rowOff>121869</xdr:rowOff>
    </xdr:to>
    <xdr:sp macro="" textlink="'Analytics Engine'!B12">
      <xdr:nvSpPr>
        <xdr:cNvPr id="39" name="Rectangle: Rounded Corners 38">
          <a:extLst>
            <a:ext uri="{FF2B5EF4-FFF2-40B4-BE49-F238E27FC236}">
              <a16:creationId xmlns:a16="http://schemas.microsoft.com/office/drawing/2014/main" id="{BB6019EE-C481-48DD-AD73-D1BE7C8E0998}"/>
            </a:ext>
          </a:extLst>
        </xdr:cNvPr>
        <xdr:cNvSpPr/>
      </xdr:nvSpPr>
      <xdr:spPr>
        <a:xfrm>
          <a:off x="3814810" y="1031009"/>
          <a:ext cx="2272210" cy="1322981"/>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9BB9E95B-C2C3-426B-A4F2-840B1F7524F3}" type="TxLink">
            <a:rPr lang="en-US" sz="2000" b="1" i="0" u="none" strike="noStrike">
              <a:solidFill>
                <a:schemeClr val="accent1">
                  <a:lumMod val="50000"/>
                </a:schemeClr>
              </a:solidFill>
              <a:latin typeface="Calibri"/>
              <a:ea typeface="Calibri"/>
              <a:cs typeface="Calibri"/>
            </a:rPr>
            <a:pPr algn="ctr"/>
            <a:t>345.1M</a:t>
          </a:fld>
          <a:endParaRPr lang="en-US" sz="4000" b="1">
            <a:solidFill>
              <a:schemeClr val="accent1">
                <a:lumMod val="50000"/>
              </a:schemeClr>
            </a:solidFill>
          </a:endParaRPr>
        </a:p>
      </xdr:txBody>
    </xdr:sp>
    <xdr:clientData/>
  </xdr:twoCellAnchor>
  <xdr:twoCellAnchor>
    <xdr:from>
      <xdr:col>6</xdr:col>
      <xdr:colOff>481701</xdr:colOff>
      <xdr:row>4</xdr:row>
      <xdr:rowOff>56508</xdr:rowOff>
    </xdr:from>
    <xdr:to>
      <xdr:col>9</xdr:col>
      <xdr:colOff>282222</xdr:colOff>
      <xdr:row>6</xdr:row>
      <xdr:rowOff>128282</xdr:rowOff>
    </xdr:to>
    <xdr:sp macro="" textlink="'Analytics Engine'!B11">
      <xdr:nvSpPr>
        <xdr:cNvPr id="40" name="Rectangle: Rounded Corners 39">
          <a:extLst>
            <a:ext uri="{FF2B5EF4-FFF2-40B4-BE49-F238E27FC236}">
              <a16:creationId xmlns:a16="http://schemas.microsoft.com/office/drawing/2014/main" id="{15D216B5-AC25-4466-9558-DF941FCF6A56}"/>
            </a:ext>
          </a:extLst>
        </xdr:cNvPr>
        <xdr:cNvSpPr/>
      </xdr:nvSpPr>
      <xdr:spPr>
        <a:xfrm>
          <a:off x="4137762" y="800548"/>
          <a:ext cx="1628551" cy="443795"/>
        </a:xfrm>
        <a:prstGeom prst="round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5DAA48A1-48EC-4BA5-BA2F-6E14513B9D1C}" type="TxLink">
            <a:rPr lang="en-US" sz="1200" b="1" i="0" u="none" strike="noStrike">
              <a:solidFill>
                <a:schemeClr val="tx1"/>
              </a:solidFill>
              <a:latin typeface="Calibri"/>
              <a:ea typeface="Calibri"/>
              <a:cs typeface="Calibri"/>
            </a:rPr>
            <a:pPr algn="ctr"/>
            <a:t>Total Requsted Amount</a:t>
          </a:fld>
          <a:endParaRPr lang="en-US" sz="1800" b="1">
            <a:solidFill>
              <a:schemeClr val="tx1"/>
            </a:solidFill>
          </a:endParaRPr>
        </a:p>
      </xdr:txBody>
    </xdr:sp>
    <xdr:clientData/>
  </xdr:twoCellAnchor>
  <xdr:twoCellAnchor>
    <xdr:from>
      <xdr:col>10</xdr:col>
      <xdr:colOff>279271</xdr:colOff>
      <xdr:row>5</xdr:row>
      <xdr:rowOff>62537</xdr:rowOff>
    </xdr:from>
    <xdr:to>
      <xdr:col>14</xdr:col>
      <xdr:colOff>134697</xdr:colOff>
      <xdr:row>12</xdr:row>
      <xdr:rowOff>134697</xdr:rowOff>
    </xdr:to>
    <xdr:sp macro="" textlink="'Analytics Engine'!B19">
      <xdr:nvSpPr>
        <xdr:cNvPr id="88" name="Rectangle: Rounded Corners 87">
          <a:extLst>
            <a:ext uri="{FF2B5EF4-FFF2-40B4-BE49-F238E27FC236}">
              <a16:creationId xmlns:a16="http://schemas.microsoft.com/office/drawing/2014/main" id="{000746D0-7EAC-49CB-BD5B-162659C78198}"/>
            </a:ext>
          </a:extLst>
        </xdr:cNvPr>
        <xdr:cNvSpPr/>
      </xdr:nvSpPr>
      <xdr:spPr>
        <a:xfrm>
          <a:off x="6372705" y="992588"/>
          <a:ext cx="2292800" cy="1374230"/>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6536A484-49A9-4B52-A9CB-12E94A0D86F8}" type="TxLink">
            <a:rPr lang="en-US" sz="2400" b="1" i="0" u="none" strike="noStrike">
              <a:solidFill>
                <a:schemeClr val="accent1">
                  <a:lumMod val="50000"/>
                </a:schemeClr>
              </a:solidFill>
              <a:latin typeface="Calibri"/>
              <a:ea typeface="Calibri"/>
              <a:cs typeface="Calibri"/>
            </a:rPr>
            <a:pPr algn="ctr"/>
            <a:t> 999 </a:t>
          </a:fld>
          <a:endParaRPr lang="en-US" sz="7200" b="1">
            <a:solidFill>
              <a:schemeClr val="accent1">
                <a:lumMod val="50000"/>
              </a:schemeClr>
            </a:solidFill>
          </a:endParaRPr>
        </a:p>
      </xdr:txBody>
    </xdr:sp>
    <xdr:clientData/>
  </xdr:twoCellAnchor>
  <xdr:twoCellAnchor>
    <xdr:from>
      <xdr:col>11</xdr:col>
      <xdr:colOff>114429</xdr:colOff>
      <xdr:row>4</xdr:row>
      <xdr:rowOff>88580</xdr:rowOff>
    </xdr:from>
    <xdr:to>
      <xdr:col>13</xdr:col>
      <xdr:colOff>235079</xdr:colOff>
      <xdr:row>6</xdr:row>
      <xdr:rowOff>141111</xdr:rowOff>
    </xdr:to>
    <xdr:sp macro="" textlink="'Analytics Engine'!B18">
      <xdr:nvSpPr>
        <xdr:cNvPr id="89" name="Rectangle: Rounded Corners 88">
          <a:extLst>
            <a:ext uri="{FF2B5EF4-FFF2-40B4-BE49-F238E27FC236}">
              <a16:creationId xmlns:a16="http://schemas.microsoft.com/office/drawing/2014/main" id="{CC68A9EB-162D-4C63-A598-42E19FDDD10B}"/>
            </a:ext>
          </a:extLst>
        </xdr:cNvPr>
        <xdr:cNvSpPr/>
      </xdr:nvSpPr>
      <xdr:spPr>
        <a:xfrm>
          <a:off x="6817207" y="832620"/>
          <a:ext cx="1339337" cy="424552"/>
        </a:xfrm>
        <a:prstGeom prst="round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6F9E4B01-C797-4388-9FF0-6C25470476CF}" type="TxLink">
            <a:rPr lang="en-US" sz="1400" b="1" i="0" u="none" strike="noStrike">
              <a:solidFill>
                <a:schemeClr val="tx1"/>
              </a:solidFill>
              <a:latin typeface="Calibri"/>
              <a:ea typeface="Calibri"/>
              <a:cs typeface="Calibri"/>
            </a:rPr>
            <a:pPr algn="ctr"/>
            <a:t>Count of Cases</a:t>
          </a:fld>
          <a:endParaRPr lang="en-US" sz="2800" b="1">
            <a:solidFill>
              <a:schemeClr val="tx1"/>
            </a:solidFill>
          </a:endParaRPr>
        </a:p>
      </xdr:txBody>
    </xdr:sp>
    <xdr:clientData/>
  </xdr:twoCellAnchor>
  <xdr:twoCellAnchor>
    <xdr:from>
      <xdr:col>1</xdr:col>
      <xdr:colOff>269394</xdr:colOff>
      <xdr:row>13</xdr:row>
      <xdr:rowOff>113723</xdr:rowOff>
    </xdr:from>
    <xdr:to>
      <xdr:col>5</xdr:col>
      <xdr:colOff>596900</xdr:colOff>
      <xdr:row>27</xdr:row>
      <xdr:rowOff>44899</xdr:rowOff>
    </xdr:to>
    <xdr:graphicFrame macro="">
      <xdr:nvGraphicFramePr>
        <xdr:cNvPr id="94" name="Chart 93">
          <a:extLst>
            <a:ext uri="{FF2B5EF4-FFF2-40B4-BE49-F238E27FC236}">
              <a16:creationId xmlns:a16="http://schemas.microsoft.com/office/drawing/2014/main" id="{1F457E01-C87B-4B7F-9969-2F494B7CF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342388</xdr:colOff>
      <xdr:row>13</xdr:row>
      <xdr:rowOff>166058</xdr:rowOff>
    </xdr:from>
    <xdr:to>
      <xdr:col>18</xdr:col>
      <xdr:colOff>363640</xdr:colOff>
      <xdr:row>27</xdr:row>
      <xdr:rowOff>70555</xdr:rowOff>
    </xdr:to>
    <xdr:graphicFrame macro="">
      <xdr:nvGraphicFramePr>
        <xdr:cNvPr id="96" name="Chart 95">
          <a:extLst>
            <a:ext uri="{FF2B5EF4-FFF2-40B4-BE49-F238E27FC236}">
              <a16:creationId xmlns:a16="http://schemas.microsoft.com/office/drawing/2014/main" id="{F421E512-1AC7-4072-A150-B85AAFE927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238531</xdr:colOff>
      <xdr:row>0</xdr:row>
      <xdr:rowOff>32071</xdr:rowOff>
    </xdr:from>
    <xdr:to>
      <xdr:col>13</xdr:col>
      <xdr:colOff>102207</xdr:colOff>
      <xdr:row>3</xdr:row>
      <xdr:rowOff>109826</xdr:rowOff>
    </xdr:to>
    <mc:AlternateContent xmlns:mc="http://schemas.openxmlformats.org/markup-compatibility/2006">
      <mc:Choice xmlns:a14="http://schemas.microsoft.com/office/drawing/2010/main" Requires="a14">
        <xdr:graphicFrame macro="">
          <xdr:nvGraphicFramePr>
            <xdr:cNvPr id="97" name="Product Name">
              <a:extLst>
                <a:ext uri="{FF2B5EF4-FFF2-40B4-BE49-F238E27FC236}">
                  <a16:creationId xmlns:a16="http://schemas.microsoft.com/office/drawing/2014/main" id="{698C88ED-9B7B-A5EF-5F13-CE560E2A1AD4}"/>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dr:sp macro="" textlink="">
          <xdr:nvSpPr>
            <xdr:cNvPr id="0" name=""/>
            <xdr:cNvSpPr>
              <a:spLocks noTextEdit="1"/>
            </xdr:cNvSpPr>
          </xdr:nvSpPr>
          <xdr:spPr>
            <a:xfrm>
              <a:off x="2067331" y="32071"/>
              <a:ext cx="5959676" cy="6302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31173</xdr:colOff>
      <xdr:row>13</xdr:row>
      <xdr:rowOff>95440</xdr:rowOff>
    </xdr:from>
    <xdr:to>
      <xdr:col>10</xdr:col>
      <xdr:colOff>297873</xdr:colOff>
      <xdr:row>27</xdr:row>
      <xdr:rowOff>64141</xdr:rowOff>
    </xdr:to>
    <xdr:graphicFrame macro="">
      <xdr:nvGraphicFramePr>
        <xdr:cNvPr id="2" name="Chart 1">
          <a:extLst>
            <a:ext uri="{FF2B5EF4-FFF2-40B4-BE49-F238E27FC236}">
              <a16:creationId xmlns:a16="http://schemas.microsoft.com/office/drawing/2014/main" id="{4D7C97D3-2B3E-401E-9E29-3691CE7371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176080</xdr:colOff>
      <xdr:row>0</xdr:row>
      <xdr:rowOff>32071</xdr:rowOff>
    </xdr:from>
    <xdr:to>
      <xdr:col>17</xdr:col>
      <xdr:colOff>471154</xdr:colOff>
      <xdr:row>3</xdr:row>
      <xdr:rowOff>102708</xdr:rowOff>
    </xdr:to>
    <mc:AlternateContent xmlns:mc="http://schemas.openxmlformats.org/markup-compatibility/2006">
      <mc:Choice xmlns:a14="http://schemas.microsoft.com/office/drawing/2010/main" Requires="a14">
        <xdr:graphicFrame macro="">
          <xdr:nvGraphicFramePr>
            <xdr:cNvPr id="5" name="Year">
              <a:extLst>
                <a:ext uri="{FF2B5EF4-FFF2-40B4-BE49-F238E27FC236}">
                  <a16:creationId xmlns:a16="http://schemas.microsoft.com/office/drawing/2014/main" id="{CE214DE4-BD0C-D5FC-7A85-A3015587C89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8100880" y="32071"/>
              <a:ext cx="2733474" cy="6230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425386</xdr:colOff>
      <xdr:row>5</xdr:row>
      <xdr:rowOff>101215</xdr:rowOff>
    </xdr:from>
    <xdr:to>
      <xdr:col>18</xdr:col>
      <xdr:colOff>262980</xdr:colOff>
      <xdr:row>12</xdr:row>
      <xdr:rowOff>134697</xdr:rowOff>
    </xdr:to>
    <xdr:sp macro="" textlink="'Analytics Engine'!B25">
      <xdr:nvSpPr>
        <xdr:cNvPr id="6" name="Rectangle: Rounded Corners 5">
          <a:extLst>
            <a:ext uri="{FF2B5EF4-FFF2-40B4-BE49-F238E27FC236}">
              <a16:creationId xmlns:a16="http://schemas.microsoft.com/office/drawing/2014/main" id="{D4F12A07-44CE-6BBA-1700-FA9243DB3E3C}"/>
            </a:ext>
          </a:extLst>
        </xdr:cNvPr>
        <xdr:cNvSpPr/>
      </xdr:nvSpPr>
      <xdr:spPr>
        <a:xfrm>
          <a:off x="8956194" y="1031266"/>
          <a:ext cx="2274968" cy="1335552"/>
        </a:xfrm>
        <a:prstGeom prst="roundRect">
          <a:avLst/>
        </a:prstGeom>
      </xdr:spPr>
      <xdr:style>
        <a:lnRef idx="2">
          <a:schemeClr val="accent5"/>
        </a:lnRef>
        <a:fillRef idx="1">
          <a:schemeClr val="lt1"/>
        </a:fillRef>
        <a:effectRef idx="0">
          <a:schemeClr val="accent5"/>
        </a:effectRef>
        <a:fontRef idx="minor">
          <a:schemeClr val="dk1"/>
        </a:fontRef>
      </xdr:style>
      <xdr:txBody>
        <a:bodyPr vertOverflow="clip" horzOverflow="clip" rtlCol="0" anchor="ctr"/>
        <a:lstStyle/>
        <a:p>
          <a:pPr algn="ctr"/>
          <a:fld id="{39A7B07C-3AF5-42F4-AF29-EC8F2C64B47C}" type="TxLink">
            <a:rPr lang="en-US" sz="2000" b="1" i="0" u="none" strike="noStrike">
              <a:solidFill>
                <a:schemeClr val="accent1">
                  <a:lumMod val="50000"/>
                </a:schemeClr>
              </a:solidFill>
              <a:latin typeface="Calibri"/>
              <a:ea typeface="Calibri"/>
              <a:cs typeface="Calibri"/>
            </a:rPr>
            <a:pPr algn="ctr"/>
            <a:t>156.9M</a:t>
          </a:fld>
          <a:endParaRPr lang="en-US" sz="13800" b="1">
            <a:solidFill>
              <a:schemeClr val="accent1">
                <a:lumMod val="50000"/>
              </a:schemeClr>
            </a:solidFill>
          </a:endParaRPr>
        </a:p>
      </xdr:txBody>
    </xdr:sp>
    <xdr:clientData/>
  </xdr:twoCellAnchor>
  <xdr:twoCellAnchor>
    <xdr:from>
      <xdr:col>15</xdr:col>
      <xdr:colOff>184343</xdr:colOff>
      <xdr:row>4</xdr:row>
      <xdr:rowOff>108015</xdr:rowOff>
    </xdr:from>
    <xdr:to>
      <xdr:col>17</xdr:col>
      <xdr:colOff>508193</xdr:colOff>
      <xdr:row>7</xdr:row>
      <xdr:rowOff>19115</xdr:rowOff>
    </xdr:to>
    <xdr:sp macro="" textlink="'Analytics Engine'!B24">
      <xdr:nvSpPr>
        <xdr:cNvPr id="8" name="Rectangle: Rounded Corners 7">
          <a:extLst>
            <a:ext uri="{FF2B5EF4-FFF2-40B4-BE49-F238E27FC236}">
              <a16:creationId xmlns:a16="http://schemas.microsoft.com/office/drawing/2014/main" id="{E4927335-DE34-1A8A-D52D-CC4CCAEC0973}"/>
            </a:ext>
          </a:extLst>
        </xdr:cNvPr>
        <xdr:cNvSpPr/>
      </xdr:nvSpPr>
      <xdr:spPr>
        <a:xfrm>
          <a:off x="9324495" y="852055"/>
          <a:ext cx="1542536" cy="469131"/>
        </a:xfrm>
        <a:prstGeom prst="roundRect">
          <a:avLst/>
        </a:prstGeom>
        <a:ln/>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fld id="{34C9DE9F-5FFD-4E23-A720-3AF36DDA4C27}" type="TxLink">
            <a:rPr lang="en-US" sz="1050" b="1" i="0" u="none" strike="noStrike">
              <a:solidFill>
                <a:schemeClr val="tx1"/>
              </a:solidFill>
              <a:latin typeface="Calibri"/>
              <a:ea typeface="Calibri"/>
              <a:cs typeface="Calibri"/>
            </a:rPr>
            <a:pPr algn="ctr"/>
            <a:t>Total Amount Not Approved</a:t>
          </a:fld>
          <a:endParaRPr lang="en-US" sz="2400" b="1" i="0">
            <a:solidFill>
              <a:schemeClr val="tx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33881250002" backgroundQuery="1" createdVersion="8" refreshedVersion="8" minRefreshableVersion="3" recordCount="0" supportSubquery="1" supportAdvancedDrill="1" xr:uid="{BE513E9A-F336-430B-B9D0-C0DC4512532F}">
  <cacheSource type="external" connectionId="5"/>
  <cacheFields count="5">
    <cacheField name="[Measures].[Sum of Loan Amount]" caption="Sum of Loan Amount" numFmtId="0" hierarchy="34" level="32767"/>
    <cacheField name="[LoanDetails].[Officer ID].[Officer ID]" caption="Officer ID" numFmtId="0" hierarchy="14" level="1">
      <sharedItems count="5">
        <s v="EMP11"/>
        <s v="EMP13"/>
        <s v="EMP15"/>
        <s v="EMP17"/>
        <s v="EMP19"/>
      </sharedItems>
    </cacheField>
    <cacheField name="[Calendar].[Date Hierarchy].[Year]" caption="Year" numFmtId="0" hierarchy="3" level="1">
      <sharedItems containsSemiMixedTypes="0" containsNonDate="0" containsString="0"/>
    </cacheField>
    <cacheField name="[Calendar].[Date Hierarchy].[Month]" caption="Month" numFmtId="0" hierarchy="3" level="2">
      <sharedItems containsSemiMixedTypes="0" containsNonDate="0" containsString="0"/>
    </cacheField>
    <cacheField name="[Calendar].[Date Hierarchy].[DateColumn]" caption="DateColumn" numFmtId="0" hierarchy="3" level="3">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1"/>
      </fieldsUsage>
    </cacheHierarchy>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4675928" backgroundQuery="1" createdVersion="8" refreshedVersion="8" minRefreshableVersion="3" recordCount="0" supportSubquery="1" supportAdvancedDrill="1" xr:uid="{8B62C8EC-9574-4E04-A921-B046CD506D31}">
  <cacheSource type="external" connectionId="5"/>
  <cacheFields count="3">
    <cacheField name="[Measures].[Sum of Loan Amount]" caption="Sum of Loan Amount" numFmtId="0" hierarchy="34" level="32767"/>
    <cacheField name="[Branch].[Branch Name].[Branch Name]" caption="Branch Name" numFmtId="0" hierarchy="1" level="1">
      <sharedItems count="10">
        <s v="Angelastad"/>
        <s v="East Carrie"/>
        <s v="East Jenniferfort"/>
        <s v="Franciscoport"/>
        <s v="Hernandezhaven"/>
        <s v="Marciaville"/>
        <s v="North Phillip"/>
        <s v="Porterton"/>
        <s v="West Sarah"/>
        <s v="Williamhaven"/>
      </sharedItems>
    </cacheField>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2" memberValueDatatype="130" unbalanced="0">
      <fieldsUsage count="2">
        <fieldUsage x="-1"/>
        <fieldUsage x="1"/>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4791666" backgroundQuery="1" createdVersion="8" refreshedVersion="8" minRefreshableVersion="3" recordCount="0" supportSubquery="1" supportAdvancedDrill="1" xr:uid="{BC484A35-5C0A-4099-8FE3-07A14E085767}">
  <cacheSource type="external" connectionId="5"/>
  <cacheFields count="2">
    <cacheField name="[Measures].[Count of Customer ID]" caption="Count of Customer ID" numFmtId="0" hierarchy="39" level="32767"/>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513889" backgroundQuery="1" createdVersion="8" refreshedVersion="8" minRefreshableVersion="3" recordCount="0" supportSubquery="1" supportAdvancedDrill="1" xr:uid="{F4EB49C5-3821-4421-A366-EF99A742CB4A}">
  <cacheSource type="external" connectionId="5"/>
  <cacheFields count="5">
    <cacheField name="[LoanDetails].[Officer ID].[Officer ID]" caption="Officer ID" numFmtId="0" hierarchy="14" level="1">
      <sharedItems count="5">
        <s v="EMP11"/>
        <s v="EMP13"/>
        <s v="EMP15"/>
        <s v="EMP17"/>
        <s v="EMP19"/>
      </sharedItems>
    </cacheField>
    <cacheField name="[Calendar].[Month].[Month]" caption="Month" numFmtId="0" hierarchy="6" level="1">
      <sharedItems count="12">
        <s v="يناير"/>
        <s v="فبراير"/>
        <s v="مارس"/>
        <s v="أبريل"/>
        <s v="مايو"/>
        <s v="يونيو"/>
        <s v="يوليو"/>
        <s v="أغسطس"/>
        <s v="سبتمبر"/>
        <s v="أكتوبر"/>
        <s v="نوفمبر"/>
        <s v="ديسمبر"/>
      </sharedItems>
    </cacheField>
    <cacheField name="[Calendar].[Year].[Year]" caption="Year" numFmtId="0" hierarchy="4" level="1">
      <sharedItems containsSemiMixedTypes="0" containsNonDate="0" containsString="0"/>
    </cacheField>
    <cacheField name="[Measures].[Count of Transaction ID]" caption="Count of Transaction ID" numFmtId="0" hierarchy="41" level="32767"/>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fieldsUsage count="2">
        <fieldUsage x="-1"/>
        <fieldUsage x="0"/>
      </fieldsUsage>
    </cacheHierarchy>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4"/>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oneField="1" hidden="1">
      <fieldsUsage count="1">
        <fieldUsage x="3"/>
      </fieldsUsage>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5486113" backgroundQuery="1" createdVersion="8" refreshedVersion="8" minRefreshableVersion="3" recordCount="0" supportSubquery="1" supportAdvancedDrill="1" xr:uid="{824043C3-FF2C-48B8-AE85-6B9D134B0B40}">
  <cacheSource type="external" connectionId="5"/>
  <cacheFields count="2">
    <cacheField name="[Measures].[Sum of Loan Amount]" caption="Sum of Loan Amount" numFmtId="0" hierarchy="34" level="32767"/>
    <cacheField name="[Products].[Product Name].[Product Name]" caption="Product Name" numFmtId="0" hierarchy="25" level="1">
      <sharedItems count="5">
        <s v="Auto Loan"/>
        <s v="Business Loan"/>
        <s v="Education Loan"/>
        <s v="Home Loan"/>
        <s v="Personal Loan"/>
      </sharedItems>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5601852" backgroundQuery="1" createdVersion="8" refreshedVersion="8" minRefreshableVersion="3" recordCount="0" supportSubquery="1" supportAdvancedDrill="1" xr:uid="{538A3C6C-9831-4D6A-A83C-BA2427619A20}">
  <cacheSource type="external" connectionId="5"/>
  <cacheFields count="3">
    <cacheField name="[Measures].[Total Amount Not Approved]" caption="Total Amount Not Approved" numFmtId="0" hierarchy="27" level="32767"/>
    <cacheField name="[Calendar].[Year].[Year]" caption="Year" numFmtId="0" hierarchy="4" level="1">
      <sharedItems containsSemiMixedTypes="0" containsNonDate="0" containsString="0"/>
    </cacheField>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2"/>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oneField="1">
      <fieldsUsage count="1">
        <fieldUsage x="0"/>
      </fieldsUsage>
    </cacheHierarchy>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571759" backgroundQuery="1" createdVersion="8" refreshedVersion="8" minRefreshableVersion="3" recordCount="0" supportSubquery="1" supportAdvancedDrill="1" xr:uid="{D12BCCA1-8454-4D12-9782-26C0B37A7606}">
  <cacheSource type="external" connectionId="5"/>
  <cacheFields count="2">
    <cacheField name="[Measures].[Sum of Requested Amount]" caption="Sum of Requested Amount" numFmtId="0" hierarchy="35" level="32767"/>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49395833336" backgroundQuery="1" createdVersion="8" refreshedVersion="8" minRefreshableVersion="3" recordCount="0" supportSubquery="1" supportAdvancedDrill="1" xr:uid="{FD6629EC-07C3-4550-8AFE-2F3B03A7A2A9}">
  <cacheSource type="external" connectionId="5"/>
  <cacheFields count="2">
    <cacheField name="[Measures].[Sum of Loan Amount]" caption="Sum of Loan Amount" numFmtId="0" hierarchy="34" level="32767"/>
    <cacheField name="[Products].[Product Name].[Product Name]" caption="Product Name" numFmtId="0" hierarchy="25" level="1">
      <sharedItems containsSemiMixedTypes="0" containsNonDate="0" containsString="0"/>
    </cacheField>
  </cacheFields>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oneField="1" hidden="1">
      <fieldsUsage count="1">
        <fieldUsage x="0"/>
      </fieldsUsage>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695560300926" backgroundQuery="1" createdVersion="3" refreshedVersion="8" minRefreshableVersion="3" recordCount="0" supportSubquery="1" supportAdvancedDrill="1" xr:uid="{C472126B-1581-4980-A36F-6F3471D76AA0}">
  <cacheSource type="external" connectionId="5">
    <extLst>
      <ext xmlns:x14="http://schemas.microsoft.com/office/spreadsheetml/2009/9/main" uri="{F057638F-6D5F-4e77-A914-E7F072B9BCA8}">
        <x14:sourceConnection name="ThisWorkbookDataModel"/>
      </ext>
    </extLst>
  </cacheSource>
  <cacheFields count="0"/>
  <cacheHierarchies count="44">
    <cacheHierarchy uniqueName="[Branch].[Branch ID]" caption="Branch ID" attribute="1" defaultMemberUniqueName="[Branch].[Branch ID].[All]" allUniqueName="[Branch].[Branch ID].[All]" dimensionUniqueName="[Branch]" displayFolder="" count="0" memberValueDatatype="130" unbalanced="0"/>
    <cacheHierarchy uniqueName="[Branch].[Branch Name]" caption="Branch Name" attribute="1" defaultMemberUniqueName="[Branch].[Branch Name].[All]" allUniqueName="[Branch].[Branch Name].[All]" dimensionUniqueName="[Branch]"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LoanDetails].[Transaction ID]" caption="Transaction ID" attribute="1" defaultMemberUniqueName="[LoanDetails].[Transaction ID].[All]" allUniqueName="[LoanDetails].[Transaction ID].[All]" dimensionUniqueName="[LoanDetails]" displayFolder="" count="0" memberValueDatatype="130" unbalanced="0"/>
    <cacheHierarchy uniqueName="[LoanDetails].[Customer ID]" caption="Customer ID" attribute="1" defaultMemberUniqueName="[LoanDetails].[Customer ID].[All]" allUniqueName="[LoanDetails].[Customer ID].[All]" dimensionUniqueName="[LoanDetails]" displayFolder="" count="0" memberValueDatatype="130" unbalanced="0"/>
    <cacheHierarchy uniqueName="[LoanDetails].[Product ID]" caption="Product ID" attribute="1" defaultMemberUniqueName="[LoanDetails].[Product ID].[All]" allUniqueName="[LoanDetails].[Product ID].[All]" dimensionUniqueName="[LoanDetails]" displayFolder="" count="0" memberValueDatatype="130" unbalanced="0"/>
    <cacheHierarchy uniqueName="[LoanDetails].[Branch ID]" caption="Branch ID" attribute="1" defaultMemberUniqueName="[LoanDetails].[Branch ID].[All]" allUniqueName="[LoanDetails].[Branch ID].[All]" dimensionUniqueName="[LoanDetails]" displayFolder="" count="0" memberValueDatatype="130" unbalanced="0"/>
    <cacheHierarchy uniqueName="[LoanDetails].[Officer ID]" caption="Officer ID" attribute="1" defaultMemberUniqueName="[LoanDetails].[Officer ID].[All]" allUniqueName="[LoanDetails].[Officer ID].[All]" dimensionUniqueName="[LoanDetails]" displayFolder="" count="0" memberValueDatatype="130" unbalanced="0"/>
    <cacheHierarchy uniqueName="[LoanDetails].[Application Date]" caption="Application Date" attribute="1" time="1" defaultMemberUniqueName="[LoanDetails].[Application Date].[All]" allUniqueName="[LoanDetails].[Application Date].[All]" dimensionUniqueName="[LoanDetails]" displayFolder="" count="0"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0" memberValueDatatype="7" unbalanced="0"/>
    <cacheHierarchy uniqueName="[LoanDetails].[Requested Amount]" caption="Requested Amount" attribute="1" defaultMemberUniqueName="[LoanDetails].[Requested Amount].[All]" allUniqueName="[LoanDetails].[Requested Amount].[All]" dimensionUniqueName="[LoanDetails]" displayFolder="" count="0" memberValueDatatype="20" unbalanced="0"/>
    <cacheHierarchy uniqueName="[LoanDetails].[Loan Amount]" caption="Loan Amount" attribute="1" defaultMemberUniqueName="[LoanDetails].[Loan Amount].[All]" allUniqueName="[LoanDetails].[Loan Amount].[All]" dimensionUniqueName="[LoanDetails]" displayFolder="" count="0" memberValueDatatype="5" unbalanced="0"/>
    <cacheHierarchy uniqueName="[LoanDetails].[Tenure (Months)]" caption="Tenure (Months)" attribute="1" defaultMemberUniqueName="[LoanDetails].[Tenure (Months)].[All]" allUniqueName="[LoanDetails].[Tenure (Months)].[All]" dimensionUniqueName="[LoanDetails]" displayFolder="" count="0" memberValueDatatype="20" unbalanced="0"/>
    <cacheHierarchy uniqueName="[LoanDetails].[Approval Status]" caption="Approval Status" attribute="1" defaultMemberUniqueName="[LoanDetails].[Approval Status].[All]" allUniqueName="[LoanDetails].[Approval Status].[All]" dimensionUniqueName="[LoanDetails]" displayFolder="" count="0"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0" memberValueDatatype="5" unbalanced="0"/>
    <cacheHierarchy uniqueName="[LoanDetails].[TAT]" caption="TAT" attribute="1" defaultMemberUniqueName="[LoanDetails].[TAT].[All]" allUniqueName="[LoanDetails].[TAT].[All]" dimensionUniqueName="[LoanDetails]" displayFolder="" count="0" memberValueDatatype="5" unbalanced="0"/>
    <cacheHierarchy uniqueName="[LoanDetails].[SLA]" caption="SLA" attribute="1" defaultMemberUniqueName="[LoanDetails].[SLA].[All]" allUniqueName="[LoanDetails].[SLA].[All]" dimensionUniqueName="[LoanDetails]" displayFolder="" count="0" memberValueDatatype="20" unbalanced="0"/>
    <cacheHierarchy uniqueName="[Products].[Product ID]" caption="Product ID" attribute="1" defaultMemberUniqueName="[Products].[Product ID].[All]" allUniqueName="[Products].[Product ID].[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4"/>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372842185"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eStore" refreshedDate="46225.703907407405" backgroundQuery="1" createdVersion="3" refreshedVersion="8" minRefreshableVersion="3" recordCount="0" supportSubquery="1" supportAdvancedDrill="1" xr:uid="{08FCECA6-0D89-4AE7-9363-32AF176757D0}">
  <cacheSource type="external" connectionId="5">
    <extLst>
      <ext xmlns:x14="http://schemas.microsoft.com/office/spreadsheetml/2009/9/main" uri="{F057638F-6D5F-4e77-A914-E7F072B9BCA8}">
        <x14:sourceConnection name="ThisWorkbookDataModel"/>
      </ext>
    </extLst>
  </cacheSource>
  <cacheFields count="0"/>
  <cacheHierarchies count="45">
    <cacheHierarchy uniqueName="[Branch].[Branch ID]" caption="Branch ID" attribute="1" defaultMemberUniqueName="[Branch].[Branch ID].[All]" allUniqueName="[Branch].[Branch ID].[All]" dimensionUniqueName="[Branch]" displayFolder="" count="2" memberValueDatatype="130" unbalanced="0"/>
    <cacheHierarchy uniqueName="[Branch].[Branch Name]" caption="Branch Name" attribute="1" defaultMemberUniqueName="[Branch].[Branch Name].[All]" allUniqueName="[Branch].[Branch Name].[All]" dimensionUniqueName="[Branch]"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LoanDetails].[Transaction ID]" caption="Transaction ID" attribute="1" defaultMemberUniqueName="[LoanDetails].[Transaction ID].[All]" allUniqueName="[LoanDetails].[Transaction ID].[All]" dimensionUniqueName="[LoanDetails]" displayFolder="" count="2" memberValueDatatype="130" unbalanced="0"/>
    <cacheHierarchy uniqueName="[LoanDetails].[Customer ID]" caption="Customer ID" attribute="1" defaultMemberUniqueName="[LoanDetails].[Customer ID].[All]" allUniqueName="[LoanDetails].[Customer ID].[All]" dimensionUniqueName="[LoanDetails]" displayFolder="" count="2" memberValueDatatype="130" unbalanced="0"/>
    <cacheHierarchy uniqueName="[LoanDetails].[Product ID]" caption="Product ID" attribute="1" defaultMemberUniqueName="[LoanDetails].[Product ID].[All]" allUniqueName="[LoanDetails].[Product ID].[All]" dimensionUniqueName="[LoanDetails]" displayFolder="" count="2" memberValueDatatype="130" unbalanced="0"/>
    <cacheHierarchy uniqueName="[LoanDetails].[Branch ID]" caption="Branch ID" attribute="1" defaultMemberUniqueName="[LoanDetails].[Branch ID].[All]" allUniqueName="[LoanDetails].[Branch ID].[All]" dimensionUniqueName="[LoanDetails]" displayFolder="" count="2" memberValueDatatype="130" unbalanced="0"/>
    <cacheHierarchy uniqueName="[LoanDetails].[Officer ID]" caption="Officer ID" attribute="1" defaultMemberUniqueName="[LoanDetails].[Officer ID].[All]" allUniqueName="[LoanDetails].[Officer ID].[All]" dimensionUniqueName="[LoanDetails]" displayFolder="" count="2" memberValueDatatype="130" unbalanced="0"/>
    <cacheHierarchy uniqueName="[LoanDetails].[Application Date]" caption="Application Date" attribute="1" time="1" defaultMemberUniqueName="[LoanDetails].[Application Date].[All]" allUniqueName="[LoanDetails].[Application Date].[All]" dimensionUniqueName="[LoanDetails]" displayFolder="" count="2" memberValueDatatype="7" unbalanced="0"/>
    <cacheHierarchy uniqueName="[LoanDetails].[Disbursement Date]" caption="Disbursement Date" attribute="1" time="1" defaultMemberUniqueName="[LoanDetails].[Disbursement Date].[All]" allUniqueName="[LoanDetails].[Disbursement Date].[All]" dimensionUniqueName="[LoanDetails]" displayFolder="" count="2" memberValueDatatype="7" unbalanced="0"/>
    <cacheHierarchy uniqueName="[LoanDetails].[Requested Amount]" caption="Requested Amount" attribute="1" defaultMemberUniqueName="[LoanDetails].[Requested Amount].[All]" allUniqueName="[LoanDetails].[Requested Amount].[All]" dimensionUniqueName="[LoanDetails]" displayFolder="" count="2" memberValueDatatype="20" unbalanced="0"/>
    <cacheHierarchy uniqueName="[LoanDetails].[Loan Amount]" caption="Loan Amount" attribute="1" defaultMemberUniqueName="[LoanDetails].[Loan Amount].[All]" allUniqueName="[LoanDetails].[Loan Amount].[All]" dimensionUniqueName="[LoanDetails]" displayFolder="" count="2" memberValueDatatype="5" unbalanced="0"/>
    <cacheHierarchy uniqueName="[LoanDetails].[Tenure (Months)]" caption="Tenure (Months)" attribute="1" defaultMemberUniqueName="[LoanDetails].[Tenure (Months)].[All]" allUniqueName="[LoanDetails].[Tenure (Months)].[All]" dimensionUniqueName="[LoanDetails]" displayFolder="" count="2" memberValueDatatype="20" unbalanced="0"/>
    <cacheHierarchy uniqueName="[LoanDetails].[Approval Status]" caption="Approval Status" attribute="1" defaultMemberUniqueName="[LoanDetails].[Approval Status].[All]" allUniqueName="[LoanDetails].[Approval Status].[All]" dimensionUniqueName="[LoanDetails]" displayFolder="" count="2" memberValueDatatype="130" unbalanced="0"/>
    <cacheHierarchy uniqueName="[LoanDetails].[Installment Amount]" caption="Installment Amount" attribute="1" defaultMemberUniqueName="[LoanDetails].[Installment Amount].[All]" allUniqueName="[LoanDetails].[Installment Amount].[All]" dimensionUniqueName="[LoanDetails]" displayFolder="" count="2" memberValueDatatype="5" unbalanced="0"/>
    <cacheHierarchy uniqueName="[LoanDetails].[TAT]" caption="TAT" attribute="1" defaultMemberUniqueName="[LoanDetails].[TAT].[All]" allUniqueName="[LoanDetails].[TAT].[All]" dimensionUniqueName="[LoanDetails]" displayFolder="" count="2" memberValueDatatype="5" unbalanced="0"/>
    <cacheHierarchy uniqueName="[LoanDetails].[SLA]" caption="SLA" attribute="1" defaultMemberUniqueName="[LoanDetails].[SLA].[All]" allUniqueName="[LoanDetails].[SLA].[All]" dimensionUniqueName="[LoanDetails]"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Products].[Product ID]" caption="Product ID" attribute="1" defaultMemberUniqueName="[Products].[Product ID].[All]" allUniqueName="[Products].[Product ID].[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2" memberValueDatatype="130" unbalanced="0"/>
    <cacheHierarchy uniqueName="[Measures].[Total Amount Approved]" caption="Total Amount Approved" measure="1" displayFolder="" measureGroup="LoanDetails" count="0"/>
    <cacheHierarchy uniqueName="[Measures].[Total Amount Not Approved]" caption="Total Amount Not Approved" measure="1" displayFolder="" measureGroup="LoanDetails" count="0"/>
    <cacheHierarchy uniqueName="[Measures].[Average TAT&amp;SLA]" caption="Average TAT&amp;SLA" measure="1" displayFolder="" measureGroup="LoanDetails" count="0"/>
    <cacheHierarchy uniqueName="[Measures].[__XL_Count Branch]" caption="__XL_Count Branch" measure="1" displayFolder="" measureGroup="Branch" count="0" hidden="1"/>
    <cacheHierarchy uniqueName="[Measures].[__XL_Count LoanDetails]" caption="__XL_Count LoanDetails" measure="1" displayFolder="" measureGroup="LoanDetails" count="0" hidden="1"/>
    <cacheHierarchy uniqueName="[Measures].[__XL_Count Products]" caption="__XL_Count Products" measure="1" displayFolder="" measureGroup="Products"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Loan Amount]" caption="Sum of Loan Amount" measure="1" displayFolder="" measureGroup="LoanDetails" count="0" hidden="1">
      <extLst>
        <ext xmlns:x15="http://schemas.microsoft.com/office/spreadsheetml/2010/11/main" uri="{B97F6D7D-B522-45F9-BDA1-12C45D357490}">
          <x15:cacheHierarchy aggregatedColumn="18"/>
        </ext>
      </extLst>
    </cacheHierarchy>
    <cacheHierarchy uniqueName="[Measures].[Sum of Requested Amount]" caption="Sum of Requested Amount" measure="1" displayFolder="" measureGroup="LoanDetails" count="0" hidden="1">
      <extLst>
        <ext xmlns:x15="http://schemas.microsoft.com/office/spreadsheetml/2010/11/main" uri="{B97F6D7D-B522-45F9-BDA1-12C45D357490}">
          <x15:cacheHierarchy aggregatedColumn="17"/>
        </ext>
      </extLst>
    </cacheHierarchy>
    <cacheHierarchy uniqueName="[Measures].[Count of Branch ID]" caption="Count of Branch ID" measure="1" displayFolder="" measureGroup="Branch" count="0" hidden="1">
      <extLst>
        <ext xmlns:x15="http://schemas.microsoft.com/office/spreadsheetml/2010/11/main" uri="{B97F6D7D-B522-45F9-BDA1-12C45D357490}">
          <x15:cacheHierarchy aggregatedColumn="0"/>
        </ext>
      </extLst>
    </cacheHierarchy>
    <cacheHierarchy uniqueName="[Measures].[Count of Branch Name]" caption="Count of Branch Name" measure="1" displayFolder="" measureGroup="Branch" count="0" hidden="1">
      <extLst>
        <ext xmlns:x15="http://schemas.microsoft.com/office/spreadsheetml/2010/11/main" uri="{B97F6D7D-B522-45F9-BDA1-12C45D357490}">
          <x15:cacheHierarchy aggregatedColumn="1"/>
        </ext>
      </extLst>
    </cacheHierarchy>
    <cacheHierarchy uniqueName="[Measures].[Count of Product ID]" caption="Count of Product ID" measure="1" displayFolder="" measureGroup="Products" count="0" hidden="1">
      <extLst>
        <ext xmlns:x15="http://schemas.microsoft.com/office/spreadsheetml/2010/11/main" uri="{B97F6D7D-B522-45F9-BDA1-12C45D357490}">
          <x15:cacheHierarchy aggregatedColumn="25"/>
        </ext>
      </extLst>
    </cacheHierarchy>
    <cacheHierarchy uniqueName="[Measures].[Count of Customer ID]" caption="Count of Customer ID" measure="1" displayFolder="" measureGroup="LoanDetails" count="0" hidden="1">
      <extLst>
        <ext xmlns:x15="http://schemas.microsoft.com/office/spreadsheetml/2010/11/main" uri="{B97F6D7D-B522-45F9-BDA1-12C45D357490}">
          <x15:cacheHierarchy aggregatedColumn="11"/>
        </ext>
      </extLst>
    </cacheHierarchy>
    <cacheHierarchy uniqueName="[Measures].[Count of Approval Status]" caption="Count of Approval Status" measure="1" displayFolder="" measureGroup="LoanDetails" count="0" hidden="1">
      <extLst>
        <ext xmlns:x15="http://schemas.microsoft.com/office/spreadsheetml/2010/11/main" uri="{B97F6D7D-B522-45F9-BDA1-12C45D357490}">
          <x15:cacheHierarchy aggregatedColumn="20"/>
        </ext>
      </extLst>
    </cacheHierarchy>
    <cacheHierarchy uniqueName="[Measures].[Count of Transaction ID]" caption="Count of Transaction ID" measure="1" displayFolder="" measureGroup="LoanDetails" count="0" hidden="1">
      <extLst>
        <ext xmlns:x15="http://schemas.microsoft.com/office/spreadsheetml/2010/11/main" uri="{B97F6D7D-B522-45F9-BDA1-12C45D357490}">
          <x15:cacheHierarchy aggregatedColumn="10"/>
        </ext>
      </extLst>
    </cacheHierarchy>
    <cacheHierarchy uniqueName="[Measures].[Sum of Installment Amount]" caption="Sum of Installment Amount" measure="1" displayFolder="" measureGroup="LoanDetails" count="0" hidden="1">
      <extLst>
        <ext xmlns:x15="http://schemas.microsoft.com/office/spreadsheetml/2010/11/main" uri="{B97F6D7D-B522-45F9-BDA1-12C45D357490}">
          <x15:cacheHierarchy aggregatedColumn="21"/>
        </ext>
      </extLst>
    </cacheHierarchy>
    <cacheHierarchy uniqueName="[Measures].[Count of Installment Amount]" caption="Count of Installment Amount" measure="1" displayFolder="" measureGroup="LoanDetails" count="0" hidden="1">
      <extLst>
        <ext xmlns:x15="http://schemas.microsoft.com/office/spreadsheetml/2010/11/main" uri="{B97F6D7D-B522-45F9-BDA1-12C45D357490}">
          <x15:cacheHierarchy aggregatedColumn="21"/>
        </ext>
      </extLst>
    </cacheHierarchy>
  </cacheHierarchies>
  <kpis count="0"/>
  <dimensions count="5">
    <dimension name="Branch" uniqueName="[Branch]" caption="Branch"/>
    <dimension name="Calendar" uniqueName="[Calendar]" caption="Calendar"/>
    <dimension name="LoanDetails" uniqueName="[LoanDetails]" caption="LoanDetails"/>
    <dimension measure="1" name="Measures" uniqueName="[Measures]" caption="Measures"/>
    <dimension name="Products" uniqueName="[Products]" caption="Products"/>
  </dimensions>
  <measureGroups count="4">
    <measureGroup name="Branch" caption="Branch"/>
    <measureGroup name="Calendar" caption="Calendar"/>
    <measureGroup name="LoanDetails" caption="LoanDetails"/>
    <measureGroup name="Products" caption="Products"/>
  </measureGroups>
  <maps count="7">
    <map measureGroup="0" dimension="0"/>
    <map measureGroup="1" dimension="1"/>
    <map measureGroup="2" dimension="0"/>
    <map measureGroup="2" dimension="1"/>
    <map measureGroup="2" dimension="2"/>
    <map measureGroup="2" dimension="4"/>
    <map measureGroup="3" dimension="4"/>
  </maps>
  <extLst>
    <ext xmlns:x14="http://schemas.microsoft.com/office/spreadsheetml/2009/9/main" uri="{725AE2AE-9491-48be-B2B4-4EB974FC3084}">
      <x14:pivotCacheDefinition slicerData="1" pivotCacheId="1719787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F9329C-C471-4E13-AA3D-5738FF2E4F70}" name="MonthsPerCases" cacheId="3075" applyNumberFormats="0" applyBorderFormats="0" applyFontFormats="0" applyPatternFormats="0" applyAlignmentFormats="0" applyWidthHeightFormats="1" dataCaption="Values" tag="989b356f-7723-4e88-aa4a-551006b1c974" updatedVersion="8" minRefreshableVersion="3" useAutoFormatting="1" itemPrintTitles="1" createdVersion="8" indent="0" outline="1" outlineData="1" multipleFieldFilters="0" chartFormat="12">
  <location ref="I54:J67" firstHeaderRow="1" firstDataRow="1" firstDataCol="1" rowPageCount="1" colPageCount="1"/>
  <pivotFields count="5">
    <pivotField allDrilled="1" subtotalTop="0" showAll="0" measureFilter="1" defaultSubtotal="0" defaultAttributeDrillState="1">
      <items count="5">
        <item x="0"/>
        <item x="1"/>
        <item x="2"/>
        <item x="3"/>
        <item x="4"/>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Page"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pageFields count="1">
    <pageField fld="2" hier="4" name="[Calendar].[Year].[All]" cap="All"/>
  </pageFields>
  <dataFields count="1">
    <dataField name="Count of Transaction ID" fld="3" subtotal="count" baseField="0" baseItem="0"/>
  </dataFields>
  <formats count="3">
    <format dxfId="659">
      <pivotArea type="all" dataOnly="0" outline="0" fieldPosition="0"/>
    </format>
    <format dxfId="658">
      <pivotArea outline="0" collapsedLevelsAreSubtotals="1" fieldPosition="0"/>
    </format>
    <format dxfId="657">
      <pivotArea dataOnly="0" labelOnly="1" outline="0" axis="axisValues" fieldPosition="0"/>
    </format>
  </formats>
  <chartFormats count="1">
    <chartFormat chart="9" format="3"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4">
      <autoFilter ref="A1">
        <filterColumn colId="0">
          <top10 val="5" filterVal="5"/>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FF5092-99F1-490A-A657-4A1B35BD236B}" name="TotalSales" cacheId="3087" applyNumberFormats="0" applyBorderFormats="0" applyFontFormats="0" applyPatternFormats="0" applyAlignmentFormats="0" applyWidthHeightFormats="1" dataCaption="Values" tag="eb92aa4a-bb29-409a-a331-9141ac47f276" updatedVersion="8" minRefreshableVersion="3" useAutoFormatting="1" itemPrintTitles="1" createdVersion="8" indent="0" outline="1" outlineData="1" multipleFieldFilters="0">
  <location ref="B6:B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Sales" fld="0" baseField="0" baseItem="0" numFmtId="174"/>
  </dataFields>
  <formats count="3">
    <format dxfId="661">
      <pivotArea type="all" dataOnly="0" outline="0" fieldPosition="0"/>
    </format>
    <format dxfId="660">
      <pivotArea dataOnly="0" labelOnly="1" outline="0" axis="axisValues" fieldPosition="0"/>
    </format>
    <format dxfId="656">
      <pivotArea outline="0" collapsedLevelsAreSubtotals="1" fieldPosition="0"/>
    </format>
  </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8145707-3EAD-4FF2-AC57-699E85FD7DE1}" name="Top5Officers" cacheId="2889" applyNumberFormats="0" applyBorderFormats="0" applyFontFormats="0" applyPatternFormats="0" applyAlignmentFormats="0" applyWidthHeightFormats="1" dataCaption="Values" tag="aa688a58-950a-495e-a5ac-d27af2400c8d" updatedVersion="8" minRefreshableVersion="3" useAutoFormatting="1" itemPrintTitles="1" createdVersion="8" indent="0" outline="1" outlineData="1" multipleFieldFilters="0" chartFormat="14">
  <location ref="I39:J45" firstHeaderRow="1" firstDataRow="1" firstDataCol="1"/>
  <pivotFields count="5">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v="4"/>
    </i>
    <i>
      <x v="1"/>
    </i>
    <i>
      <x v="3"/>
    </i>
    <i>
      <x v="2"/>
    </i>
    <i>
      <x/>
    </i>
    <i t="grand">
      <x/>
    </i>
  </rowItems>
  <colItems count="1">
    <i/>
  </colItems>
  <dataFields count="1">
    <dataField name="Total Sales" fld="0" baseField="0" baseItem="0" numFmtId="174"/>
  </dataFields>
  <formats count="4">
    <format dxfId="663">
      <pivotArea type="all" dataOnly="0" outline="0" fieldPosition="0"/>
    </format>
    <format dxfId="662">
      <pivotArea dataOnly="0" labelOnly="1" outline="0" axis="axisValues" fieldPosition="0"/>
    </format>
    <format dxfId="653">
      <pivotArea collapsedLevelsAreSubtotals="1" fieldPosition="0">
        <references count="1">
          <reference field="1" count="1">
            <x v="1"/>
          </reference>
        </references>
      </pivotArea>
    </format>
    <format dxfId="652">
      <pivotArea outline="0" collapsedLevelsAreSubtotals="1" fieldPosition="0"/>
    </format>
  </formats>
  <chartFormats count="6">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 count="1" selected="0">
            <x v="4"/>
          </reference>
        </references>
      </pivotArea>
    </chartFormat>
    <chartFormat chart="7" format="9">
      <pivotArea type="data" outline="0" fieldPosition="0">
        <references count="2">
          <reference field="4294967294" count="1" selected="0">
            <x v="0"/>
          </reference>
          <reference field="1" count="1" selected="0">
            <x v="1"/>
          </reference>
        </references>
      </pivotArea>
    </chartFormat>
    <chartFormat chart="7" format="10">
      <pivotArea type="data" outline="0" fieldPosition="0">
        <references count="2">
          <reference field="4294967294" count="1" selected="0">
            <x v="0"/>
          </reference>
          <reference field="1" count="1" selected="0">
            <x v="3"/>
          </reference>
        </references>
      </pivotArea>
    </chartFormat>
    <chartFormat chart="7" format="11">
      <pivotArea type="data" outline="0" fieldPosition="0">
        <references count="2">
          <reference field="4294967294" count="1" selected="0">
            <x v="0"/>
          </reference>
          <reference field="1" count="1" selected="0">
            <x v="2"/>
          </reference>
        </references>
      </pivotArea>
    </chartFormat>
    <chartFormat chart="7" format="12">
      <pivotArea type="data" outline="0" fieldPosition="0">
        <references count="2">
          <reference field="4294967294" count="1" selected="0">
            <x v="0"/>
          </reference>
          <reference field="1" count="1" selected="0">
            <x v="0"/>
          </reference>
        </references>
      </pivotArea>
    </chartFormat>
  </chart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3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848BC2-35A5-40A1-856A-15519D0F033F}" name="BranchBySales" cacheId="3069" applyNumberFormats="0" applyBorderFormats="0" applyFontFormats="0" applyPatternFormats="0" applyAlignmentFormats="0" applyWidthHeightFormats="1" dataCaption="Values" tag="b7a0b6d4-54ca-4d37-a36e-05321ba66790" updatedVersion="8" minRefreshableVersion="3" useAutoFormatting="1" subtotalHiddenItems="1" itemPrintTitles="1" createdVersion="8" indent="0" outline="1" outlineData="1" multipleFieldFilters="0" chartFormat="20">
  <location ref="I6:J17" firstHeaderRow="1" firstDataRow="1" firstDataCol="1"/>
  <pivotFields count="3">
    <pivotField dataField="1" subtotalTop="0" showAll="0" defaultSubtotal="0"/>
    <pivotField name="Branch Name"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1"/>
    </i>
    <i>
      <x v="8"/>
    </i>
    <i>
      <x v="9"/>
    </i>
    <i>
      <x v="5"/>
    </i>
    <i>
      <x v="6"/>
    </i>
    <i>
      <x v="7"/>
    </i>
    <i>
      <x/>
    </i>
    <i>
      <x v="2"/>
    </i>
    <i>
      <x v="3"/>
    </i>
    <i>
      <x v="4"/>
    </i>
    <i t="grand">
      <x/>
    </i>
  </rowItems>
  <colItems count="1">
    <i/>
  </colItems>
  <dataFields count="1">
    <dataField name="Total Sales" fld="0" baseField="0" baseItem="0" numFmtId="174"/>
  </dataFields>
  <formats count="3">
    <format dxfId="665">
      <pivotArea type="all" dataOnly="0" outline="0" fieldPosition="0"/>
    </format>
    <format dxfId="664">
      <pivotArea dataOnly="0" labelOnly="1" outline="0" axis="axisValues" fieldPosition="0"/>
    </format>
    <format dxfId="651">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03343F-162A-4276-905C-761FBF927F46}" name="Total Not Approved" cacheId="3081" applyNumberFormats="0" applyBorderFormats="0" applyFontFormats="0" applyPatternFormats="0" applyAlignmentFormats="0" applyWidthHeightFormats="1" dataCaption="Values" tag="91117441-5d72-42e3-a3a6-c7c0066b25f4" updatedVersion="8" minRefreshableVersion="3" useAutoFormatting="1" itemPrintTitles="1" createdVersion="8" indent="0" outline="1" outlineData="1" multipleFieldFilters="0">
  <location ref="B24:B25" firstHeaderRow="1" firstDataRow="1" firstDataCol="0" rowPageCount="1" colPageCount="1"/>
  <pivotFields count="3">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s>
  <rowItems count="1">
    <i/>
  </rowItems>
  <colItems count="1">
    <i/>
  </colItems>
  <pageFields count="1">
    <pageField fld="1" hier="4" name="[Calendar].[Year].[All]" cap="All"/>
  </pageFields>
  <dataFields count="1">
    <dataField fld="0" subtotal="count" baseField="0" baseItem="0"/>
  </dataFields>
  <formats count="3">
    <format dxfId="667">
      <pivotArea type="all" dataOnly="0" outline="0" fieldPosition="0"/>
    </format>
    <format dxfId="666">
      <pivotArea dataOnly="0" labelOnly="1" outline="0" axis="axisValues" fieldPosition="0"/>
    </format>
    <format dxfId="654">
      <pivotArea outline="0" collapsedLevelsAreSubtotals="1" fieldPosition="0"/>
    </format>
  </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Cases"/>
    <pivotHierarchy dragToData="1"/>
    <pivotHierarchy dragToData="1"/>
    <pivotHierarchy dragToData="1"/>
    <pivotHierarchy dragToData="1" caption="Count of Installment Amount"/>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A7E978-BC6B-4EA3-AA83-93EAEABFD4FE}" name="CountOfCases" cacheId="3072" applyNumberFormats="0" applyBorderFormats="0" applyFontFormats="0" applyPatternFormats="0" applyAlignmentFormats="0" applyWidthHeightFormats="1" dataCaption="Values" tag="3ac9d76a-2074-47f0-8a8f-1ed44e946a2c" updatedVersion="8" minRefreshableVersion="3" useAutoFormatting="1" itemPrintTitles="1" createdVersion="8" indent="0" outline="1" outlineData="1" multipleFieldFilters="0">
  <location ref="B18:B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ases" fld="0" subtotal="count" baseField="0" baseItem="0" numFmtId="164"/>
  </dataFields>
  <formats count="3">
    <format dxfId="670">
      <pivotArea type="all" dataOnly="0" outline="0" fieldPosition="0"/>
    </format>
    <format dxfId="669">
      <pivotArea outline="0" collapsedLevelsAreSubtotals="1" fieldPosition="0"/>
    </format>
    <format dxfId="668">
      <pivotArea dataOnly="0" labelOnly="1" outline="0" axis="axisValues" fieldPosition="0"/>
    </format>
  </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Case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4AB800-BD2E-498C-9C0C-CB267503A71D}" name="TotalRequsted" cacheId="3084" applyNumberFormats="0" applyBorderFormats="0" applyFontFormats="0" applyPatternFormats="0" applyAlignmentFormats="0" applyWidthHeightFormats="1" dataCaption="Values" tag="bd85bb79-29ae-4c54-aa94-21c89b43847f" updatedVersion="8" minRefreshableVersion="3" useAutoFormatting="1" itemPrintTitles="1" createdVersion="8" indent="0" outline="1" outlineData="1" multipleFieldFilters="0">
  <location ref="B11:B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Requsted Amount" fld="0" baseField="0" baseItem="0" numFmtId="174"/>
  </dataFields>
  <formats count="3">
    <format dxfId="672">
      <pivotArea type="all" dataOnly="0" outline="0" fieldPosition="0"/>
    </format>
    <format dxfId="671">
      <pivotArea dataOnly="0" labelOnly="1" outline="0" axis="axisValues" fieldPosition="0"/>
    </format>
    <format dxfId="655">
      <pivotArea outline="0" collapsedLevelsAreSubtotals="1" fieldPosition="0"/>
    </format>
  </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Total Requsted Amount"/>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FB66D0-84C4-4145-B7FB-6554A059602D}" name="ProductBySales" cacheId="3078" applyNumberFormats="0" applyBorderFormats="0" applyFontFormats="0" applyPatternFormats="0" applyAlignmentFormats="0" applyWidthHeightFormats="1" dataCaption="Values" tag="d04e76e9-399a-4191-b900-cea2f0193ec9" updatedVersion="8" minRefreshableVersion="3" useAutoFormatting="1" itemPrintTitles="1" createdVersion="8" indent="0" outline="1" outlineData="1" multipleFieldFilters="0" chartFormat="25">
  <location ref="I25:J31"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Total Sales" fld="0" baseField="0" baseItem="0" numFmtId="174"/>
  </dataFields>
  <formats count="3">
    <format dxfId="674">
      <pivotArea type="all" dataOnly="0" outline="0" fieldPosition="0"/>
    </format>
    <format dxfId="673">
      <pivotArea dataOnly="0" labelOnly="1" outline="0" axis="axisValues" fieldPosition="0"/>
    </format>
    <format dxfId="650">
      <pivotArea outline="0" collapsedLevelsAreSubtotals="1" fieldPosition="0"/>
    </format>
  </formats>
  <chartFormats count="8">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1" count="1" selected="0">
            <x v="4"/>
          </reference>
        </references>
      </pivotArea>
    </chartFormat>
    <chartFormat chart="19" format="4">
      <pivotArea type="data" outline="0" fieldPosition="0">
        <references count="2">
          <reference field="4294967294" count="1" selected="0">
            <x v="0"/>
          </reference>
          <reference field="1" count="1" selected="0">
            <x v="3"/>
          </reference>
        </references>
      </pivotArea>
    </chartFormat>
    <chartFormat chart="19" format="5">
      <pivotArea type="data" outline="0" fieldPosition="0">
        <references count="2">
          <reference field="4294967294" count="1" selected="0">
            <x v="0"/>
          </reference>
          <reference field="1" count="1" selected="0">
            <x v="2"/>
          </reference>
        </references>
      </pivotArea>
    </chartFormat>
    <chartFormat chart="19" format="6">
      <pivotArea type="data" outline="0" fieldPosition="0">
        <references count="2">
          <reference field="4294967294" count="1" selected="0">
            <x v="0"/>
          </reference>
          <reference field="1" count="1" selected="0">
            <x v="1"/>
          </reference>
        </references>
      </pivotArea>
    </chartFormat>
    <chartFormat chart="19" format="7">
      <pivotArea type="data" outline="0" fieldPosition="0">
        <references count="2">
          <reference field="4294967294" count="1" selected="0">
            <x v="0"/>
          </reference>
          <reference field="1" count="1" selected="0">
            <x v="0"/>
          </reference>
        </references>
      </pivotArea>
    </chartFormat>
  </chartFormats>
  <pivotHierarchies count="44">
    <pivotHierarchy dragToData="1"/>
    <pivotHierarchy dragToData="1"/>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anDetails]"/>
        <x15:activeTabTopLevelEntity name="[Branch]"/>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7F0B945-5D85-4167-8831-95E487AF701B}" sourceName="[Products].[Product Name]">
  <pivotTables>
    <pivotTable tabId="1" name="BranchBySales"/>
    <pivotTable tabId="1" name="CountOfCases"/>
    <pivotTable tabId="1" name="MonthsPerCases"/>
    <pivotTable tabId="1" name="ProductBySales"/>
    <pivotTable tabId="1" name="Total Not Approved"/>
    <pivotTable tabId="1" name="TotalRequsted"/>
    <pivotTable tabId="1" name="TotalSales"/>
  </pivotTables>
  <data>
    <olap pivotCacheId="1372842185">
      <levels count="2">
        <level uniqueName="[Products].[Product Name].[(All)]" sourceCaption="(All)" count="0"/>
        <level uniqueName="[Products].[Product Name].[Product Name]" sourceCaption="Product Name" count="5">
          <ranges>
            <range startItem="0">
              <i n="[Products].[Product Name].&amp;[Auto Loan]" c="Auto Loan"/>
              <i n="[Products].[Product Name].&amp;[Business Loan]" c="Business Loan"/>
              <i n="[Products].[Product Name].&amp;[Education Loan]" c="Education Loan"/>
              <i n="[Products].[Product Name].&amp;[Home Loan]" c="Home Loan"/>
              <i n="[Products].[Product Name].&amp;[Personal Loan]" c="Personal Loan"/>
            </range>
          </ranges>
        </level>
      </levels>
      <selections count="1">
        <selection n="[Products].[Product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 xr10:uid="{13EDAFE9-9824-4BE8-9193-43AA89109173}" sourceName="[Calendar].[Date Hierarchy]">
  <pivotTables>
    <pivotTable tabId="1" name="BranchBySales"/>
    <pivotTable tabId="1" name="CountOfCases"/>
    <pivotTable tabId="1" name="MonthsPerCases"/>
    <pivotTable tabId="1" name="ProductBySales"/>
    <pivotTable tabId="1" name="Top5Officers"/>
    <pivotTable tabId="1" name="Total Not Approved"/>
    <pivotTable tabId="1" name="TotalRequsted"/>
    <pivotTable tabId="1" name="TotalSales"/>
  </pivotTables>
  <data>
    <olap pivotCacheId="171978790">
      <levels count="4">
        <level uniqueName="[Calendar].[Date Hierarchy].[(All)]" sourceCaption="(All)" count="0"/>
        <level uniqueName="[Calendar].[Date Hierarchy].[Year]" sourceCaption="Year" count="3">
          <ranges>
            <range startItem="0">
              <i n="[Calendar].[Date Hierarchy].[Year].&amp;[2023]" c="2023"/>
              <i n="[Calendar].[Date Hierarchy].[Year].&amp;[2024]" c="2024"/>
              <i n="[Calendar].[Date Hierarchy].[Year].&amp;[2025]" c="2025"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Name" xr10:uid="{3983D84F-13D9-4DEE-A5EE-777ACEBF3268}" cache="Slicer_Product_Name" caption="Product Name" columnCount="5" level="1" style="SlicerStyleDark5" rowHeight="241300"/>
  <slicer name="Year" xr10:uid="{E68BB995-7E72-425E-B89F-EF19A3F5BFAB}" cache="Slicer_Date_Hierarchy" caption="Year" columnCount="3"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15931-5ABC-421F-819D-5EED559E8F48}">
  <sheetPr>
    <tabColor theme="8" tint="-0.249977111117893"/>
  </sheetPr>
  <dimension ref="A1"/>
  <sheetViews>
    <sheetView tabSelected="1" zoomScaleNormal="98" workbookViewId="0">
      <selection activeCell="M39" sqref="M39"/>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5EC4C-BE43-47C3-A4B4-3E010387DEA7}">
  <sheetPr>
    <tabColor theme="8" tint="-0.499984740745262"/>
  </sheetPr>
  <dimension ref="B2:K67"/>
  <sheetViews>
    <sheetView workbookViewId="0"/>
  </sheetViews>
  <sheetFormatPr defaultRowHeight="14.5" x14ac:dyDescent="0.35"/>
  <cols>
    <col min="2" max="2" width="11" bestFit="1" customWidth="1"/>
    <col min="3" max="3" width="6.453125" bestFit="1" customWidth="1"/>
    <col min="4" max="4" width="6.6328125" bestFit="1" customWidth="1"/>
    <col min="5" max="5" width="12" bestFit="1" customWidth="1"/>
    <col min="9" max="9" width="14.90625" bestFit="1" customWidth="1"/>
    <col min="10" max="10" width="11" bestFit="1" customWidth="1"/>
  </cols>
  <sheetData>
    <row r="2" spans="2:11" x14ac:dyDescent="0.35">
      <c r="B2" s="6" t="s">
        <v>6</v>
      </c>
      <c r="C2" s="7"/>
      <c r="D2" s="7"/>
      <c r="I2" s="6" t="s">
        <v>5</v>
      </c>
      <c r="J2" s="7"/>
      <c r="K2" s="7"/>
    </row>
    <row r="3" spans="2:11" x14ac:dyDescent="0.35">
      <c r="B3" s="7"/>
      <c r="C3" s="7"/>
      <c r="D3" s="7"/>
      <c r="I3" s="7"/>
      <c r="J3" s="7"/>
      <c r="K3" s="7"/>
    </row>
    <row r="5" spans="2:11" x14ac:dyDescent="0.35">
      <c r="I5" s="5" t="s">
        <v>17</v>
      </c>
      <c r="J5" s="5"/>
    </row>
    <row r="6" spans="2:11" x14ac:dyDescent="0.35">
      <c r="B6" s="2" t="s">
        <v>2</v>
      </c>
      <c r="I6" s="3" t="s">
        <v>0</v>
      </c>
      <c r="J6" s="2" t="s">
        <v>2</v>
      </c>
    </row>
    <row r="7" spans="2:11" x14ac:dyDescent="0.35">
      <c r="B7" s="8">
        <v>38506166.450000003</v>
      </c>
      <c r="I7" s="4" t="s">
        <v>8</v>
      </c>
      <c r="J7" s="8">
        <v>3380986.31</v>
      </c>
    </row>
    <row r="8" spans="2:11" x14ac:dyDescent="0.35">
      <c r="B8" s="1"/>
      <c r="I8" s="4" t="s">
        <v>15</v>
      </c>
      <c r="J8" s="8">
        <v>3526715.84</v>
      </c>
    </row>
    <row r="9" spans="2:11" x14ac:dyDescent="0.35">
      <c r="B9" s="1"/>
      <c r="I9" s="4" t="s">
        <v>16</v>
      </c>
      <c r="J9" s="8">
        <v>3558604.82</v>
      </c>
    </row>
    <row r="10" spans="2:11" x14ac:dyDescent="0.35">
      <c r="B10" s="1"/>
      <c r="I10" s="4" t="s">
        <v>12</v>
      </c>
      <c r="J10" s="8">
        <v>3639656.87</v>
      </c>
    </row>
    <row r="11" spans="2:11" x14ac:dyDescent="0.35">
      <c r="B11" s="2" t="s">
        <v>4</v>
      </c>
      <c r="I11" s="4" t="s">
        <v>13</v>
      </c>
      <c r="J11" s="8">
        <v>3788112</v>
      </c>
    </row>
    <row r="12" spans="2:11" x14ac:dyDescent="0.35">
      <c r="B12" s="8">
        <v>345132306</v>
      </c>
      <c r="I12" s="4" t="s">
        <v>14</v>
      </c>
      <c r="J12" s="8">
        <v>3946702.22</v>
      </c>
    </row>
    <row r="13" spans="2:11" x14ac:dyDescent="0.35">
      <c r="B13" s="1"/>
      <c r="I13" s="4" t="s">
        <v>7</v>
      </c>
      <c r="J13" s="8">
        <v>4015448.15</v>
      </c>
    </row>
    <row r="14" spans="2:11" x14ac:dyDescent="0.35">
      <c r="B14" s="1"/>
      <c r="I14" s="4" t="s">
        <v>9</v>
      </c>
      <c r="J14" s="8">
        <v>4060588.97</v>
      </c>
    </row>
    <row r="15" spans="2:11" x14ac:dyDescent="0.35">
      <c r="B15" s="1"/>
      <c r="I15" s="4" t="s">
        <v>10</v>
      </c>
      <c r="J15" s="8">
        <v>4233015.87</v>
      </c>
    </row>
    <row r="16" spans="2:11" x14ac:dyDescent="0.35">
      <c r="B16" s="1"/>
      <c r="I16" s="4" t="s">
        <v>11</v>
      </c>
      <c r="J16" s="8">
        <v>4356335.4000000004</v>
      </c>
    </row>
    <row r="17" spans="2:10" x14ac:dyDescent="0.35">
      <c r="B17" s="1"/>
      <c r="I17" s="4" t="s">
        <v>1</v>
      </c>
      <c r="J17" s="8">
        <v>38506166.450000003</v>
      </c>
    </row>
    <row r="18" spans="2:10" x14ac:dyDescent="0.35">
      <c r="B18" s="2" t="s">
        <v>3</v>
      </c>
    </row>
    <row r="19" spans="2:10" x14ac:dyDescent="0.35">
      <c r="B19" s="2">
        <v>999</v>
      </c>
    </row>
    <row r="20" spans="2:10" x14ac:dyDescent="0.35">
      <c r="B20" s="1"/>
    </row>
    <row r="21" spans="2:10" x14ac:dyDescent="0.35">
      <c r="B21" s="1"/>
    </row>
    <row r="22" spans="2:10" x14ac:dyDescent="0.35">
      <c r="B22" s="3" t="s">
        <v>43</v>
      </c>
      <c r="C22" s="2" t="s" vm="1">
        <v>46</v>
      </c>
    </row>
    <row r="23" spans="2:10" x14ac:dyDescent="0.35">
      <c r="B23" s="1"/>
    </row>
    <row r="24" spans="2:10" x14ac:dyDescent="0.35">
      <c r="B24" s="2" t="s">
        <v>45</v>
      </c>
      <c r="I24" s="5" t="s">
        <v>18</v>
      </c>
      <c r="J24" s="5"/>
    </row>
    <row r="25" spans="2:10" x14ac:dyDescent="0.35">
      <c r="B25" s="8">
        <v>156933771</v>
      </c>
      <c r="I25" s="3" t="s">
        <v>0</v>
      </c>
      <c r="J25" s="2" t="s">
        <v>2</v>
      </c>
    </row>
    <row r="26" spans="2:10" x14ac:dyDescent="0.35">
      <c r="I26" s="4" t="s">
        <v>19</v>
      </c>
      <c r="J26" s="8">
        <v>8187100.4400000004</v>
      </c>
    </row>
    <row r="27" spans="2:10" x14ac:dyDescent="0.35">
      <c r="I27" s="4" t="s">
        <v>20</v>
      </c>
      <c r="J27" s="8">
        <v>8133032.2300000004</v>
      </c>
    </row>
    <row r="28" spans="2:10" x14ac:dyDescent="0.35">
      <c r="I28" s="4" t="s">
        <v>21</v>
      </c>
      <c r="J28" s="8">
        <v>7267406.7300000004</v>
      </c>
    </row>
    <row r="29" spans="2:10" x14ac:dyDescent="0.35">
      <c r="I29" s="4" t="s">
        <v>22</v>
      </c>
      <c r="J29" s="8">
        <v>6682073.8200000003</v>
      </c>
    </row>
    <row r="30" spans="2:10" x14ac:dyDescent="0.35">
      <c r="I30" s="4" t="s">
        <v>23</v>
      </c>
      <c r="J30" s="8">
        <v>8236553.2300000004</v>
      </c>
    </row>
    <row r="31" spans="2:10" x14ac:dyDescent="0.35">
      <c r="I31" s="4" t="s">
        <v>1</v>
      </c>
      <c r="J31" s="8">
        <v>38506166.450000003</v>
      </c>
    </row>
    <row r="38" spans="9:10" x14ac:dyDescent="0.35">
      <c r="I38" s="5" t="s">
        <v>24</v>
      </c>
      <c r="J38" s="5"/>
    </row>
    <row r="39" spans="9:10" x14ac:dyDescent="0.35">
      <c r="I39" s="3" t="s">
        <v>0</v>
      </c>
      <c r="J39" s="2" t="s">
        <v>2</v>
      </c>
    </row>
    <row r="40" spans="9:10" x14ac:dyDescent="0.35">
      <c r="I40" s="4" t="s">
        <v>29</v>
      </c>
      <c r="J40" s="8">
        <v>2590664.37</v>
      </c>
    </row>
    <row r="41" spans="9:10" x14ac:dyDescent="0.35">
      <c r="I41" s="4" t="s">
        <v>26</v>
      </c>
      <c r="J41" s="8">
        <v>2488661.9</v>
      </c>
    </row>
    <row r="42" spans="9:10" x14ac:dyDescent="0.35">
      <c r="I42" s="4" t="s">
        <v>28</v>
      </c>
      <c r="J42" s="8">
        <v>2474740.66</v>
      </c>
    </row>
    <row r="43" spans="9:10" x14ac:dyDescent="0.35">
      <c r="I43" s="4" t="s">
        <v>27</v>
      </c>
      <c r="J43" s="8">
        <v>2272871.42</v>
      </c>
    </row>
    <row r="44" spans="9:10" x14ac:dyDescent="0.35">
      <c r="I44" s="4" t="s">
        <v>25</v>
      </c>
      <c r="J44" s="8">
        <v>2219630.17</v>
      </c>
    </row>
    <row r="45" spans="9:10" x14ac:dyDescent="0.35">
      <c r="I45" s="4" t="s">
        <v>1</v>
      </c>
      <c r="J45" s="8">
        <v>12046568.52</v>
      </c>
    </row>
    <row r="51" spans="9:10" x14ac:dyDescent="0.35">
      <c r="I51" s="5" t="s">
        <v>30</v>
      </c>
      <c r="J51" s="5"/>
    </row>
    <row r="52" spans="9:10" ht="13" customHeight="1" x14ac:dyDescent="0.35">
      <c r="I52" s="3" t="s">
        <v>43</v>
      </c>
      <c r="J52" s="2" t="s" vm="1">
        <v>46</v>
      </c>
    </row>
    <row r="54" spans="9:10" x14ac:dyDescent="0.35">
      <c r="I54" s="3" t="s">
        <v>0</v>
      </c>
      <c r="J54" s="2" t="s">
        <v>44</v>
      </c>
    </row>
    <row r="55" spans="9:10" x14ac:dyDescent="0.35">
      <c r="I55" s="4" t="s">
        <v>31</v>
      </c>
      <c r="J55" s="2">
        <v>78</v>
      </c>
    </row>
    <row r="56" spans="9:10" x14ac:dyDescent="0.35">
      <c r="I56" s="4" t="s">
        <v>32</v>
      </c>
      <c r="J56" s="2">
        <v>78</v>
      </c>
    </row>
    <row r="57" spans="9:10" x14ac:dyDescent="0.35">
      <c r="I57" s="4" t="s">
        <v>33</v>
      </c>
      <c r="J57" s="2">
        <v>94</v>
      </c>
    </row>
    <row r="58" spans="9:10" x14ac:dyDescent="0.35">
      <c r="I58" s="4" t="s">
        <v>34</v>
      </c>
      <c r="J58" s="2">
        <v>70</v>
      </c>
    </row>
    <row r="59" spans="9:10" x14ac:dyDescent="0.35">
      <c r="I59" s="4" t="s">
        <v>35</v>
      </c>
      <c r="J59" s="2">
        <v>76</v>
      </c>
    </row>
    <row r="60" spans="9:10" x14ac:dyDescent="0.35">
      <c r="I60" s="4" t="s">
        <v>36</v>
      </c>
      <c r="J60" s="2">
        <v>88</v>
      </c>
    </row>
    <row r="61" spans="9:10" x14ac:dyDescent="0.35">
      <c r="I61" s="4" t="s">
        <v>37</v>
      </c>
      <c r="J61" s="2">
        <v>92</v>
      </c>
    </row>
    <row r="62" spans="9:10" x14ac:dyDescent="0.35">
      <c r="I62" s="4" t="s">
        <v>38</v>
      </c>
      <c r="J62" s="2">
        <v>90</v>
      </c>
    </row>
    <row r="63" spans="9:10" x14ac:dyDescent="0.35">
      <c r="I63" s="4" t="s">
        <v>39</v>
      </c>
      <c r="J63" s="2">
        <v>81</v>
      </c>
    </row>
    <row r="64" spans="9:10" x14ac:dyDescent="0.35">
      <c r="I64" s="4" t="s">
        <v>40</v>
      </c>
      <c r="J64" s="2">
        <v>81</v>
      </c>
    </row>
    <row r="65" spans="9:10" x14ac:dyDescent="0.35">
      <c r="I65" s="4" t="s">
        <v>41</v>
      </c>
      <c r="J65" s="2">
        <v>77</v>
      </c>
    </row>
    <row r="66" spans="9:10" x14ac:dyDescent="0.35">
      <c r="I66" s="4" t="s">
        <v>42</v>
      </c>
      <c r="J66" s="2">
        <v>94</v>
      </c>
    </row>
    <row r="67" spans="9:10" x14ac:dyDescent="0.35">
      <c r="I67" s="4" t="s">
        <v>1</v>
      </c>
      <c r="J67" s="2">
        <v>999</v>
      </c>
    </row>
  </sheetData>
  <mergeCells count="6">
    <mergeCell ref="I51:J51"/>
    <mergeCell ref="B2:D3"/>
    <mergeCell ref="I2:K3"/>
    <mergeCell ref="I5:J5"/>
    <mergeCell ref="I24:J24"/>
    <mergeCell ref="I38:J3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DCA97CF-A7D3-4EF3-BFDA-C31A17E4404A}">
  <ds:schemaRefs/>
</ds:datastoreItem>
</file>

<file path=customXml/itemProps2.xml><?xml version="1.0" encoding="utf-8"?>
<ds:datastoreItem xmlns:ds="http://schemas.openxmlformats.org/officeDocument/2006/customXml" ds:itemID="{F5B4B051-67A7-4ACA-89ED-C03AE33839D3}">
  <ds:schemaRefs/>
</ds:datastoreItem>
</file>

<file path=customXml/itemProps3.xml><?xml version="1.0" encoding="utf-8"?>
<ds:datastoreItem xmlns:ds="http://schemas.openxmlformats.org/officeDocument/2006/customXml" ds:itemID="{7DE877E2-0889-4D54-8834-616DF689F259}">
  <ds:schemaRefs/>
</ds:datastoreItem>
</file>

<file path=customXml/itemProps4.xml><?xml version="1.0" encoding="utf-8"?>
<ds:datastoreItem xmlns:ds="http://schemas.openxmlformats.org/officeDocument/2006/customXml" ds:itemID="{4F3D7481-DACA-43B3-907C-BBCFB8A516EB}">
  <ds:schemaRefs/>
</ds:datastoreItem>
</file>

<file path=customXml/itemProps5.xml><?xml version="1.0" encoding="utf-8"?>
<ds:datastoreItem xmlns:ds="http://schemas.openxmlformats.org/officeDocument/2006/customXml" ds:itemID="{AFA56BE6-C6EC-49DC-9D99-B086C143B3D1}">
  <ds:schemaRefs/>
</ds:datastoreItem>
</file>

<file path=customXml/itemProps6.xml><?xml version="1.0" encoding="utf-8"?>
<ds:datastoreItem xmlns:ds="http://schemas.openxmlformats.org/officeDocument/2006/customXml" ds:itemID="{D31D8FD5-00BD-47FD-95A6-0AEC2C9ABD6F}">
  <ds:schemaRefs/>
</ds:datastoreItem>
</file>

<file path=customXml/itemProps7.xml><?xml version="1.0" encoding="utf-8"?>
<ds:datastoreItem xmlns:ds="http://schemas.openxmlformats.org/officeDocument/2006/customXml" ds:itemID="{595156C9-743E-48D4-9537-BC31B8124A1E}">
  <ds:schemaRefs/>
</ds:datastoreItem>
</file>

<file path=customXml/itemProps8.xml><?xml version="1.0" encoding="utf-8"?>
<ds:datastoreItem xmlns:ds="http://schemas.openxmlformats.org/officeDocument/2006/customXml" ds:itemID="{79C38D98-2486-417D-8AAE-03FD9BDFA9F3}">
  <ds:schemaRefs/>
</ds:datastoreItem>
</file>

<file path=customXml/itemProps9.xml><?xml version="1.0" encoding="utf-8"?>
<ds:datastoreItem xmlns:ds="http://schemas.openxmlformats.org/officeDocument/2006/customXml" ds:itemID="{54733401-E063-4B6A-8D0D-C336189DF759}">
  <ds:schemaRefs/>
</ds:datastoreItem>
</file>

<file path=customXml/itemProps10.xml><?xml version="1.0" encoding="utf-8"?>
<ds:datastoreItem xmlns:ds="http://schemas.openxmlformats.org/officeDocument/2006/customXml" ds:itemID="{08F46AC4-FE20-4721-920D-76E044974681}">
  <ds:schemaRefs/>
</ds:datastoreItem>
</file>

<file path=customXml/itemProps11.xml><?xml version="1.0" encoding="utf-8"?>
<ds:datastoreItem xmlns:ds="http://schemas.openxmlformats.org/officeDocument/2006/customXml" ds:itemID="{283C631E-8481-4730-8891-FF521346FFFD}">
  <ds:schemaRefs/>
</ds:datastoreItem>
</file>

<file path=customXml/itemProps12.xml><?xml version="1.0" encoding="utf-8"?>
<ds:datastoreItem xmlns:ds="http://schemas.openxmlformats.org/officeDocument/2006/customXml" ds:itemID="{AC04107F-270D-4790-BAFD-D3EC0BC3DAE0}">
  <ds:schemaRefs/>
</ds:datastoreItem>
</file>

<file path=customXml/itemProps13.xml><?xml version="1.0" encoding="utf-8"?>
<ds:datastoreItem xmlns:ds="http://schemas.openxmlformats.org/officeDocument/2006/customXml" ds:itemID="{CAE6D8B8-3AE1-40A2-AE3F-D61E54B5817E}">
  <ds:schemaRefs/>
</ds:datastoreItem>
</file>

<file path=customXml/itemProps14.xml><?xml version="1.0" encoding="utf-8"?>
<ds:datastoreItem xmlns:ds="http://schemas.openxmlformats.org/officeDocument/2006/customXml" ds:itemID="{E7AE74ED-329C-4567-9009-EF5EA37FDFD0}">
  <ds:schemaRefs/>
</ds:datastoreItem>
</file>

<file path=customXml/itemProps15.xml><?xml version="1.0" encoding="utf-8"?>
<ds:datastoreItem xmlns:ds="http://schemas.openxmlformats.org/officeDocument/2006/customXml" ds:itemID="{7A753585-96D1-4983-A417-90782D410E8D}">
  <ds:schemaRefs/>
</ds:datastoreItem>
</file>

<file path=customXml/itemProps16.xml><?xml version="1.0" encoding="utf-8"?>
<ds:datastoreItem xmlns:ds="http://schemas.openxmlformats.org/officeDocument/2006/customXml" ds:itemID="{7BAC5A38-94DF-4041-BCF3-296F9EF7EA3C}">
  <ds:schemaRefs/>
</ds:datastoreItem>
</file>

<file path=customXml/itemProps17.xml><?xml version="1.0" encoding="utf-8"?>
<ds:datastoreItem xmlns:ds="http://schemas.openxmlformats.org/officeDocument/2006/customXml" ds:itemID="{C7D78EDB-B059-4E00-BE88-88ECC22CE6C2}">
  <ds:schemaRefs/>
</ds:datastoreItem>
</file>

<file path=customXml/itemProps18.xml><?xml version="1.0" encoding="utf-8"?>
<ds:datastoreItem xmlns:ds="http://schemas.openxmlformats.org/officeDocument/2006/customXml" ds:itemID="{3C3916E5-B283-4F84-9D76-35C5E8528AF1}">
  <ds:schemaRefs/>
</ds:datastoreItem>
</file>

<file path=customXml/itemProps19.xml><?xml version="1.0" encoding="utf-8"?>
<ds:datastoreItem xmlns:ds="http://schemas.openxmlformats.org/officeDocument/2006/customXml" ds:itemID="{1F328EF1-D533-4175-85D7-86405A8C9E6A}">
  <ds:schemaRefs>
    <ds:schemaRef ds:uri="http://schemas.microsoft.com/DataMashup"/>
  </ds:schemaRefs>
</ds:datastoreItem>
</file>

<file path=customXml/itemProps20.xml><?xml version="1.0" encoding="utf-8"?>
<ds:datastoreItem xmlns:ds="http://schemas.openxmlformats.org/officeDocument/2006/customXml" ds:itemID="{A0B12C2B-A556-48AA-BBFD-9B406E04D54F}">
  <ds:schemaRefs/>
</ds:datastoreItem>
</file>

<file path=customXml/itemProps21.xml><?xml version="1.0" encoding="utf-8"?>
<ds:datastoreItem xmlns:ds="http://schemas.openxmlformats.org/officeDocument/2006/customXml" ds:itemID="{158117EE-9600-4EDB-9E32-382DC270809F}">
  <ds:schemaRefs/>
</ds:datastoreItem>
</file>

<file path=customXml/itemProps22.xml><?xml version="1.0" encoding="utf-8"?>
<ds:datastoreItem xmlns:ds="http://schemas.openxmlformats.org/officeDocument/2006/customXml" ds:itemID="{EFE7C1A4-0B71-47D8-8F21-E5354FDEB0FF}">
  <ds:schemaRefs/>
</ds:datastoreItem>
</file>

<file path=customXml/itemProps23.xml><?xml version="1.0" encoding="utf-8"?>
<ds:datastoreItem xmlns:ds="http://schemas.openxmlformats.org/officeDocument/2006/customXml" ds:itemID="{F6E0E4AA-4B61-4358-BC3A-D1E408C734C6}">
  <ds:schemaRefs/>
</ds:datastoreItem>
</file>

<file path=customXml/itemProps24.xml><?xml version="1.0" encoding="utf-8"?>
<ds:datastoreItem xmlns:ds="http://schemas.openxmlformats.org/officeDocument/2006/customXml" ds:itemID="{66895E63-2695-4FD6-9BB7-D636D53C07FC}">
  <ds:schemaRefs/>
</ds:datastoreItem>
</file>

<file path=customXml/itemProps25.xml><?xml version="1.0" encoding="utf-8"?>
<ds:datastoreItem xmlns:ds="http://schemas.openxmlformats.org/officeDocument/2006/customXml" ds:itemID="{FEDE3FE3-9BAA-41BD-B5F4-B0F49AE7B5C8}">
  <ds:schemaRefs/>
</ds:datastoreItem>
</file>

<file path=customXml/itemProps26.xml><?xml version="1.0" encoding="utf-8"?>
<ds:datastoreItem xmlns:ds="http://schemas.openxmlformats.org/officeDocument/2006/customXml" ds:itemID="{637EABCD-5931-4631-877C-30D3046CA1BD}">
  <ds:schemaRefs/>
</ds:datastoreItem>
</file>

<file path=customXml/itemProps27.xml><?xml version="1.0" encoding="utf-8"?>
<ds:datastoreItem xmlns:ds="http://schemas.openxmlformats.org/officeDocument/2006/customXml" ds:itemID="{21D291B1-42F7-41B4-AEBC-83BBB81B8BF4}">
  <ds:schemaRefs/>
</ds:datastoreItem>
</file>

<file path=customXml/itemProps28.xml><?xml version="1.0" encoding="utf-8"?>
<ds:datastoreItem xmlns:ds="http://schemas.openxmlformats.org/officeDocument/2006/customXml" ds:itemID="{1A172DDB-D290-4C52-A6DD-4B0BBBE234C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Dashbord</vt:lpstr>
      <vt:lpstr>Analytics Engine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Ashraf</dc:creator>
  <cp:lastModifiedBy>Abdelrahman Ashraf</cp:lastModifiedBy>
  <dcterms:created xsi:type="dcterms:W3CDTF">2026-07-21T21:41:00Z</dcterms:created>
  <dcterms:modified xsi:type="dcterms:W3CDTF">2026-07-22T15:03:29Z</dcterms:modified>
</cp:coreProperties>
</file>